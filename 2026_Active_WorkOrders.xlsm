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baier\Desktop\Active_Production\"/>
    </mc:Choice>
  </mc:AlternateContent>
  <xr:revisionPtr revIDLastSave="0" documentId="13_ncr:1_{15667B11-A7B8-4206-8DCD-04BBC7D928F2}" xr6:coauthVersionLast="47" xr6:coauthVersionMax="47" xr10:uidLastSave="{00000000-0000-0000-0000-000000000000}"/>
  <bookViews>
    <workbookView xWindow="-108" yWindow="-108" windowWidth="23256" windowHeight="13896" xr2:uid="{16538336-8318-436F-AD33-19684E5B6975}"/>
  </bookViews>
  <sheets>
    <sheet name="Active_Sched" sheetId="1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O11" i="1" s="1"/>
  <c r="N12" i="1"/>
  <c r="N13" i="1"/>
  <c r="N14" i="1"/>
  <c r="O14" i="1" s="1"/>
  <c r="N15" i="1"/>
  <c r="N16" i="1"/>
  <c r="N17" i="1"/>
  <c r="O17" i="1" s="1"/>
  <c r="N18" i="1"/>
  <c r="N19" i="1"/>
  <c r="N20" i="1"/>
  <c r="O20" i="1" s="1"/>
  <c r="N21" i="1"/>
  <c r="N22" i="1"/>
  <c r="N23" i="1"/>
  <c r="N24" i="1"/>
  <c r="N25" i="1"/>
  <c r="N26" i="1"/>
  <c r="N27" i="1"/>
  <c r="N28" i="1"/>
  <c r="O28" i="1" s="1"/>
  <c r="N29" i="1"/>
  <c r="N30" i="1"/>
  <c r="N31" i="1"/>
  <c r="O31" i="1" s="1"/>
  <c r="N32" i="1"/>
  <c r="N33" i="1"/>
  <c r="N34" i="1"/>
  <c r="O34" i="1" s="1"/>
  <c r="N35" i="1"/>
  <c r="N36" i="1"/>
  <c r="N37" i="1"/>
  <c r="N38" i="1"/>
  <c r="N39" i="1"/>
  <c r="N40" i="1"/>
  <c r="N41" i="1"/>
  <c r="N42" i="1"/>
  <c r="O42" i="1" s="1"/>
  <c r="N43" i="1"/>
  <c r="N44" i="1"/>
  <c r="N45" i="1"/>
  <c r="O45" i="1" s="1"/>
  <c r="N46" i="1"/>
  <c r="N47" i="1"/>
  <c r="N48" i="1"/>
  <c r="O48" i="1" s="1"/>
  <c r="N49" i="1"/>
  <c r="N50" i="1"/>
  <c r="N51" i="1"/>
  <c r="N52" i="1"/>
  <c r="N53" i="1"/>
  <c r="N54" i="1"/>
  <c r="N55" i="1"/>
  <c r="N56" i="1"/>
  <c r="O56" i="1" s="1"/>
  <c r="N57" i="1"/>
  <c r="N58" i="1"/>
  <c r="N59" i="1"/>
  <c r="O59" i="1" s="1"/>
  <c r="N60" i="1"/>
  <c r="N61" i="1"/>
  <c r="N62" i="1"/>
  <c r="O62" i="1" s="1"/>
  <c r="N63" i="1"/>
  <c r="N64" i="1"/>
  <c r="N65" i="1"/>
  <c r="N66" i="1"/>
  <c r="N6" i="1"/>
  <c r="O6" i="1" s="1"/>
  <c r="O7" i="1"/>
  <c r="O8" i="1"/>
  <c r="O9" i="1"/>
  <c r="O10" i="1"/>
  <c r="O12" i="1"/>
  <c r="O13" i="1"/>
  <c r="O15" i="1"/>
  <c r="O16" i="1"/>
  <c r="O18" i="1"/>
  <c r="O19" i="1"/>
  <c r="O21" i="1"/>
  <c r="O22" i="1"/>
  <c r="O23" i="1"/>
  <c r="O24" i="1"/>
  <c r="O25" i="1"/>
  <c r="O26" i="1"/>
  <c r="O27" i="1"/>
  <c r="O29" i="1"/>
  <c r="O30" i="1"/>
  <c r="O32" i="1"/>
  <c r="O33" i="1"/>
  <c r="O35" i="1"/>
  <c r="O36" i="1"/>
  <c r="O37" i="1"/>
  <c r="O38" i="1"/>
  <c r="O39" i="1"/>
  <c r="O40" i="1"/>
  <c r="O41" i="1"/>
  <c r="O43" i="1"/>
  <c r="O44" i="1"/>
  <c r="O46" i="1"/>
  <c r="O47" i="1"/>
  <c r="O49" i="1"/>
  <c r="O50" i="1"/>
  <c r="O51" i="1"/>
  <c r="O52" i="1"/>
  <c r="O53" i="1"/>
  <c r="O54" i="1"/>
  <c r="O55" i="1"/>
  <c r="O57" i="1"/>
  <c r="O58" i="1"/>
  <c r="O60" i="1"/>
  <c r="O61" i="1"/>
  <c r="O63" i="1"/>
  <c r="O64" i="1"/>
  <c r="O65" i="1"/>
  <c r="O66" i="1"/>
  <c r="P6" i="1" a="1"/>
  <c r="P6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4" i="1" a="1"/>
  <c r="P14" i="1" s="1"/>
  <c r="P15" i="1" a="1"/>
  <c r="P15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P58" i="1" a="1"/>
  <c r="P58" i="1" s="1"/>
  <c r="P59" i="1" a="1"/>
  <c r="P59" i="1" s="1"/>
  <c r="P60" i="1" a="1"/>
  <c r="P60" i="1" s="1"/>
  <c r="P61" i="1" a="1"/>
  <c r="P61" i="1" s="1"/>
  <c r="P62" i="1" a="1"/>
  <c r="P62" i="1" s="1"/>
  <c r="P63" i="1" a="1"/>
  <c r="P63" i="1" s="1"/>
  <c r="P64" i="1" a="1"/>
  <c r="P64" i="1" s="1"/>
  <c r="P65" i="1" a="1"/>
  <c r="P65" i="1" s="1"/>
  <c r="P66" i="1" a="1"/>
  <c r="P66" i="1" s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I2" i="3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<sst xmlns="http://schemas.openxmlformats.org/spreadsheetml/2006/main" count="4549" uniqueCount="221">
  <si>
    <t>Formula:</t>
  </si>
  <si>
    <t>EPLANT_ID</t>
  </si>
  <si>
    <t>MFGCELL</t>
  </si>
  <si>
    <t>PROD_START_TIME</t>
  </si>
  <si>
    <t>PROD_END_TIME</t>
  </si>
  <si>
    <t>MEASUREX</t>
  </si>
  <si>
    <t>PA IML</t>
  </si>
  <si>
    <t>CNTR_DESC</t>
  </si>
  <si>
    <t>ITEMNO</t>
  </si>
  <si>
    <t>Work Center - M03</t>
  </si>
  <si>
    <t>Work Center - M04</t>
  </si>
  <si>
    <t>Work Center - M02</t>
  </si>
  <si>
    <t>Work Center - MX01</t>
  </si>
  <si>
    <t>Work Center - MX02</t>
  </si>
  <si>
    <t>Work Center - MX09</t>
  </si>
  <si>
    <t>Work Center - MX08</t>
  </si>
  <si>
    <t>Work Center - MX10</t>
  </si>
  <si>
    <t>Work Center - IML02</t>
  </si>
  <si>
    <t>Work Center - IML04</t>
  </si>
  <si>
    <t>Work Center - IML05</t>
  </si>
  <si>
    <t>C034U5000-P49548A</t>
  </si>
  <si>
    <t>Work Center - M01</t>
  </si>
  <si>
    <t>Work Center - IML01</t>
  </si>
  <si>
    <t>Work Center - IML06</t>
  </si>
  <si>
    <t>CR04I501K  51804A</t>
  </si>
  <si>
    <t>Work Center - IML03</t>
  </si>
  <si>
    <t>0120.01480940</t>
  </si>
  <si>
    <t>DESCRIP</t>
  </si>
  <si>
    <t>PET-AG 14.8C3.0 DR SCOOP NAT (ENGRAVED - 1 tbsp.)</t>
  </si>
  <si>
    <t>32OZ CHICKEN TORTILLA TUB</t>
  </si>
  <si>
    <t>4.4oz Cold Brew Coffee Extra Creamy Skyr Cup</t>
  </si>
  <si>
    <t>WorkCenter</t>
  </si>
  <si>
    <t>PTWT_DISP</t>
  </si>
  <si>
    <t>ACT_CAV</t>
  </si>
  <si>
    <t>CYCLE_TIME</t>
  </si>
  <si>
    <t>PCS_PER_CTN</t>
  </si>
  <si>
    <t>Cartons Per Hour</t>
  </si>
  <si>
    <t>PCS_PER_HR</t>
  </si>
  <si>
    <t>0120.04309120</t>
  </si>
  <si>
    <t>ORGAIN LOGO 43.0D4.5 DR NATURAL ST</t>
  </si>
  <si>
    <t>CURR_CYCLE_TIME</t>
  </si>
  <si>
    <t>DYMATIZE LOGO 90.0D5.0 DR NAT</t>
  </si>
  <si>
    <t>L410Q555YA-P46841A</t>
  </si>
  <si>
    <t>16 OZ BROCCOLI CHEDDAR LID</t>
  </si>
  <si>
    <t>SNUFF WHITE PUCK LID</t>
  </si>
  <si>
    <t>(ACT_CAV/CYCLE_TIME)*3600</t>
  </si>
  <si>
    <t>PCS/HR</t>
  </si>
  <si>
    <t>0120.09009545</t>
  </si>
  <si>
    <t>0510.01501200</t>
  </si>
  <si>
    <t>CR04I501K  52812A</t>
  </si>
  <si>
    <t>4.4oz Peaches &amp; Cream Extra Creamy Skyr Cup</t>
  </si>
  <si>
    <t>Cavitation %</t>
  </si>
  <si>
    <t>STD_CAV</t>
  </si>
  <si>
    <t>0121.08009100</t>
  </si>
  <si>
    <t>MEASUREX 80.0D4.5 DR NATURAL</t>
  </si>
  <si>
    <t>0121.09409100</t>
  </si>
  <si>
    <t>MEASUREX 94.0D5.0 DR NATURAL</t>
  </si>
  <si>
    <t>0121.09409000</t>
  </si>
  <si>
    <t>MEASUREX 94.0D3.5 DR NATURAL</t>
  </si>
  <si>
    <t>0121.01480905</t>
  </si>
  <si>
    <t>MEASUREX 14.8C3.0 DR NATURAL</t>
  </si>
  <si>
    <t>0121.01480915</t>
  </si>
  <si>
    <t>MEASUREX 14.8C4.5 DR BLUE</t>
  </si>
  <si>
    <t>0121.01480920</t>
  </si>
  <si>
    <t>MEASUREX 14.8C4.5 DR NATURAL</t>
  </si>
  <si>
    <t>0121.00759300</t>
  </si>
  <si>
    <t>MEASUREX 7.5C5.5 DR NATURAL</t>
  </si>
  <si>
    <t>0120.09009540</t>
  </si>
  <si>
    <t>MEASUREX 90.0D5.0 DR 83494 YELLOW PMS 3955C</t>
  </si>
  <si>
    <t>0120.04809200</t>
  </si>
  <si>
    <t>ORGAIN LOGO 48.0D4.5 DR NATURAL ST</t>
  </si>
  <si>
    <t>0121.00759102</t>
  </si>
  <si>
    <t>MEASUREX 7.5C2.25 DR NATURAL</t>
  </si>
  <si>
    <t>0121.03209300</t>
  </si>
  <si>
    <t>MEASUREX 32.0D4.5 DR NATURAL REV A</t>
  </si>
  <si>
    <t>0510.01501100</t>
  </si>
  <si>
    <t>SNUFF CONTAINER WHT-BOTTOM</t>
  </si>
  <si>
    <t>0121.00909005</t>
  </si>
  <si>
    <t>MEASUREX 9.0C3.0 DR NATURAL REV A</t>
  </si>
  <si>
    <t>0121.00909015</t>
  </si>
  <si>
    <t>MEASUREX 9.0C4.5 DR NATURAL REV A</t>
  </si>
  <si>
    <t>0120.00909030</t>
  </si>
  <si>
    <t>MEASUREX 9.0C4.5 DR RED REV A</t>
  </si>
  <si>
    <t>CR05I501K  47684C</t>
  </si>
  <si>
    <t>5.0oz IP Blueberry Oatmilk Skyr Cup</t>
  </si>
  <si>
    <t>0120.00902000</t>
  </si>
  <si>
    <t>MEASUREX 9.0C4.5 DR BLUE 54747 REV A</t>
  </si>
  <si>
    <t>CR05I501K  47683C</t>
  </si>
  <si>
    <t>5.0oz IP Strawberry Oatmilk Skyr Cup</t>
  </si>
  <si>
    <t>0120.00901000</t>
  </si>
  <si>
    <t>BASIC SUPPLEMENTS LOGO 9.0C4.5 DR RED-1788C REV A</t>
  </si>
  <si>
    <t>CR05I501K  47685C</t>
  </si>
  <si>
    <t>5.0oz IP Peach Oatmilk Skyr Cup</t>
  </si>
  <si>
    <t>C017Q5000-ZP45772C</t>
  </si>
  <si>
    <t>16OZ BROCCOLI CHEDDAR CUP</t>
  </si>
  <si>
    <t>0120.09009100</t>
  </si>
  <si>
    <t>MEASUREX 90.0D5.0 DR NATURAL FIT FOODS - PLASTIC PALLETS</t>
  </si>
  <si>
    <t>0121.11849000</t>
  </si>
  <si>
    <t>MEASUREX 118.4D3.5 DR NATURAL</t>
  </si>
  <si>
    <t>0121.09009100</t>
  </si>
  <si>
    <t>MEASUREX 90.0D5.0 DR NATURAL</t>
  </si>
  <si>
    <t>0120.03209100</t>
  </si>
  <si>
    <t>ORGAIN LOGO 32.0D4.5 DR NATURAL ST</t>
  </si>
  <si>
    <t>0121.02009500</t>
  </si>
  <si>
    <t>MEASUREX 20.0D4.5DR NATURAL</t>
  </si>
  <si>
    <t>0121.03209200</t>
  </si>
  <si>
    <t>MEASUREX 32.0D3.3 DR NATURAL REV A</t>
  </si>
  <si>
    <t>0121.03209100</t>
  </si>
  <si>
    <t>MEASUREX 32.0D3.0 DR NATURAL REV A</t>
  </si>
  <si>
    <t>0121.00909020</t>
  </si>
  <si>
    <t>MEASUREX 9.0C5.5 DR NATURAL REV A</t>
  </si>
  <si>
    <t>0120.01009500</t>
  </si>
  <si>
    <t>ORGAIN LOGO 10.0R5.0 DR NATURAL ROUND BOTTOM ST</t>
  </si>
  <si>
    <t>CR05I501K  51786A</t>
  </si>
  <si>
    <t>5.3oz IP Peach &amp; Cloudberry Skyr Cup</t>
  </si>
  <si>
    <t>0120.01009300</t>
  </si>
  <si>
    <t>MEASUREX 10.0R5.0 DR RED ROUND BOTTOM REV A</t>
  </si>
  <si>
    <t>L410Q555YA-P46827C</t>
  </si>
  <si>
    <t>16 OZ CHICKEN NOODLE LID</t>
  </si>
  <si>
    <t>CR04I501K  51796A</t>
  </si>
  <si>
    <t>4.4oz Vanilla Bean Extra Creamy Skyr Cup</t>
  </si>
  <si>
    <t>C034U5000-P49547A</t>
  </si>
  <si>
    <t>32OZ BROCCOLI CHEDDAR TUB</t>
  </si>
  <si>
    <t>C017Q5000-ZP45768C</t>
  </si>
  <si>
    <t>16OZ BAKED POTATO CUP</t>
  </si>
  <si>
    <t>L410Q555YA-P46840A</t>
  </si>
  <si>
    <t>16 OZ BAKED POTATO LID</t>
  </si>
  <si>
    <t>0121.00759100</t>
  </si>
  <si>
    <t>MEASUREX 7.5C3.0 DR NATURAL</t>
  </si>
  <si>
    <t>L410Q555YA-P46823A</t>
  </si>
  <si>
    <t>16OZ AUTUMN SQUASH SOUP LID</t>
  </si>
  <si>
    <t>Eplant</t>
  </si>
  <si>
    <t>3</t>
  </si>
  <si>
    <t>ProductionYear</t>
  </si>
  <si>
    <t>2026</t>
  </si>
  <si>
    <t>TransMonth</t>
  </si>
  <si>
    <t>10</t>
  </si>
  <si>
    <t>TransDay</t>
  </si>
  <si>
    <t>7</t>
  </si>
  <si>
    <t>*</t>
  </si>
  <si>
    <t>User Name</t>
  </si>
  <si>
    <t>ARINVT_ID</t>
  </si>
  <si>
    <t>193830</t>
  </si>
  <si>
    <t>ACT_DATE</t>
  </si>
  <si>
    <t>TRANS_DATE</t>
  </si>
  <si>
    <t>TransLogID</t>
  </si>
  <si>
    <t>TransYear</t>
  </si>
  <si>
    <t>ItemDescription</t>
  </si>
  <si>
    <t>CLASS</t>
  </si>
  <si>
    <t>InventoryGroup</t>
  </si>
  <si>
    <t>LOC_DESC</t>
  </si>
  <si>
    <t>LOCATION_DESCRIP</t>
  </si>
  <si>
    <t>TRANS_IN_OUT</t>
  </si>
  <si>
    <t>BEGIN_QUAN_TOTAL</t>
  </si>
  <si>
    <t>EXT COST</t>
  </si>
  <si>
    <t>NET_QTY</t>
  </si>
  <si>
    <t>TRANS_QUAN</t>
  </si>
  <si>
    <t>TRANS_TYPE_CODE</t>
  </si>
  <si>
    <t>TRANS_TYPE</t>
  </si>
  <si>
    <t>DIVISION_ID</t>
  </si>
  <si>
    <t>DIVISION_NAME</t>
  </si>
  <si>
    <t>MFGNO</t>
  </si>
  <si>
    <t>CurrentStdCost</t>
  </si>
  <si>
    <t>TransLogStdCost</t>
  </si>
  <si>
    <t>COST_ELEMENT</t>
  </si>
  <si>
    <t>SUB_BATCH</t>
  </si>
  <si>
    <t>ACT_QTY</t>
  </si>
  <si>
    <t>FGMULTI_ID</t>
  </si>
  <si>
    <t>PROD_DATE</t>
  </si>
  <si>
    <t>RECV_DATE</t>
  </si>
  <si>
    <t>WORKORDER_ID</t>
  </si>
  <si>
    <t>SOURCE</t>
  </si>
  <si>
    <t>RECEIPTNO</t>
  </si>
  <si>
    <t>PARENT_ARINVT_ID</t>
  </si>
  <si>
    <t>LOTNO</t>
  </si>
  <si>
    <t>FG_LOTNO</t>
  </si>
  <si>
    <t>ORDERNO</t>
  </si>
  <si>
    <t>USERID</t>
  </si>
  <si>
    <t>ACT_COST</t>
  </si>
  <si>
    <t>ParentItemNo</t>
  </si>
  <si>
    <t>ParentItemDescription</t>
  </si>
  <si>
    <t>ParentInvGrpDescription</t>
  </si>
  <si>
    <t>ParentCode</t>
  </si>
  <si>
    <t>TRANS_REASON</t>
  </si>
  <si>
    <t>1001.PPHO6900</t>
  </si>
  <si>
    <t>BRASKEM FT200 WV NAT PPH (BULK)</t>
  </si>
  <si>
    <t>PL</t>
  </si>
  <si>
    <t>MEASUREX RESIN</t>
  </si>
  <si>
    <t>SILO 5</t>
  </si>
  <si>
    <t>SILO</t>
  </si>
  <si>
    <t>OUT</t>
  </si>
  <si>
    <t>DISPOSITION</t>
  </si>
  <si>
    <t>Nazareth-PA</t>
  </si>
  <si>
    <t>0120.09009545-16</t>
  </si>
  <si>
    <t>MX-RESIN</t>
  </si>
  <si>
    <t>TXJEPD0521</t>
  </si>
  <si>
    <t>20862168-PA</t>
  </si>
  <si>
    <t>SHOPDATAPA</t>
  </si>
  <si>
    <t>MEASUREX FINISHED GOODS</t>
  </si>
  <si>
    <t>MX-FG</t>
  </si>
  <si>
    <t>Floor Disposition</t>
  </si>
  <si>
    <t>0121.09409100*</t>
  </si>
  <si>
    <t>20712950-PA</t>
  </si>
  <si>
    <t>0121.08009100-16</t>
  </si>
  <si>
    <t>20871851-PA</t>
  </si>
  <si>
    <t>0120.04309120-REV_A-16</t>
  </si>
  <si>
    <t>20768074-PA</t>
  </si>
  <si>
    <t>DANA</t>
  </si>
  <si>
    <t>RECEIVED</t>
  </si>
  <si>
    <t>MOVE_LOCATION</t>
  </si>
  <si>
    <t>PACLPD1501</t>
  </si>
  <si>
    <t>MBUSKIRK</t>
  </si>
  <si>
    <t>SILO 4</t>
  </si>
  <si>
    <t>IN</t>
  </si>
  <si>
    <t>0121.00909015_16</t>
  </si>
  <si>
    <t>20916065-PA</t>
  </si>
  <si>
    <t>20969340-PA</t>
  </si>
  <si>
    <t>CGUFFYSCM</t>
  </si>
  <si>
    <t>20969357-PA</t>
  </si>
  <si>
    <t>20849033-PA</t>
  </si>
  <si>
    <t>Floor Dispo / Backflush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</si>
</sst>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m/d/yy\ h:mm\ AM/PM;@"/>
    <numFmt numFmtId="165" formatCode="_(* #,##0.000000_);_(* \(#,##0.000000\);_(* &quot;-&quot;??_);_(@_)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49" fontId="0" fillId="0" borderId="0" xfId="0" applyNumberFormat="1"/>
    <xf numFmtId="49" fontId="0" fillId="2" borderId="1" xfId="0" applyNumberFormat="1" applyFill="1" applyBorder="1"/>
    <xf numFmtId="0" fontId="0" fillId="2" borderId="2" xfId="0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164" fontId="0" fillId="0" borderId="0" xfId="0" applyNumberFormat="1"/>
    <xf numFmtId="43" fontId="0" fillId="0" borderId="0" xfId="1" applyFont="1"/>
    <xf numFmtId="43" fontId="0" fillId="0" borderId="0" xfId="0" applyNumberFormat="1"/>
    <xf numFmtId="9" fontId="0" fillId="0" borderId="0" xfId="2" applyFont="1"/>
    <xf numFmtId="49" fontId="0" fillId="2" borderId="4" xfId="0" applyNumberFormat="1" applyFill="1" applyBorder="1"/>
    <xf numFmtId="49" fontId="0" fillId="2" borderId="5" xfId="0" applyNumberFormat="1" applyFill="1" applyBorder="1"/>
    <xf numFmtId="0" fontId="0" fillId="2" borderId="5" xfId="0" applyFill="1" applyBorder="1"/>
    <xf numFmtId="0" fontId="0" fillId="2" borderId="6" xfId="0" applyFill="1" applyBorder="1"/>
    <xf numFmtId="49" fontId="0" fillId="2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2" borderId="8" xfId="0" applyNumberFormat="1" applyFill="1" applyBorder="1"/>
    <xf numFmtId="0" fontId="0" fillId="2" borderId="8" xfId="0" applyFill="1" applyBorder="1" applyAlignment="1">
      <alignment horizontal="centerContinuous"/>
    </xf>
    <xf numFmtId="0" fontId="0" fillId="2" borderId="9" xfId="0" applyFill="1" applyBorder="1" applyAlignment="1">
      <alignment horizontal="centerContinuous"/>
    </xf>
    <xf numFmtId="165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164" formatCode="[$-409]m/d/yy\ h:mm\ AM/PM;@"/>
    </dxf>
    <dxf>
      <numFmt numFmtId="164" formatCode="[$-409]m/d/yy\ h:mm\ AM/PM;@"/>
    </dxf>
    <dxf>
      <numFmt numFmtId="165" formatCode="_(* #,##0.000000_);_(* \(#,##0.000000\);_(* &quot;-&quot;??_);_(@_)"/>
    </dxf>
    <dxf>
      <numFmt numFmtId="165" formatCode="_(* #,##0.000000_);_(* \(#,##0.000000\);_(* &quot;-&quot;??_);_(@_)"/>
    </dxf>
    <dxf>
      <numFmt numFmtId="30" formatCode="@"/>
    </dxf>
    <dxf>
      <numFmt numFmtId="30" formatCode="@"/>
    </dxf>
    <dxf>
      <numFmt numFmtId="164" formatCode="[$-409]m/d/yy\ h:mm\ AM/PM;@"/>
    </dxf>
    <dxf>
      <numFmt numFmtId="164" formatCode="[$-409]m/d/yy\ h:mm\ AM/P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85E4CE-4B3E-4C3D-B366-B013643849FC}" name="Active_Sched" displayName="Active_Sched" ref="A5:Q66" totalsRowShown="0">
  <autoFilter ref="A5:Q66" xr:uid="{AC85E4CE-4B3E-4C3D-B366-B013643849FC}"/>
  <sortState xmlns:xlrd2="http://schemas.microsoft.com/office/spreadsheetml/2017/richdata2" ref="A6:Q6">
    <sortCondition ref="P5:P6"/>
  </sortState>
  <tableColumns count="17">
    <tableColumn id="11" xr3:uid="{2B3AFBC3-774E-49D2-84D2-C027154AE332}" name="EPLANT_ID"/>
    <tableColumn id="9" xr3:uid="{C0F7E81E-A8E3-485F-B3B0-8794E11EFCC8}" name="MFGCELL"/>
    <tableColumn id="17" xr3:uid="{6A3C5E69-CEE8-4382-82D4-DBE3B4AC9D91}" name="CNTR_DESC"/>
    <tableColumn id="16" xr3:uid="{2487D5C2-9919-4B06-BB6F-A2717038D83B}" name="PROD_START_TIME" dataDxfId="6"/>
    <tableColumn id="15" xr3:uid="{02B9AC01-7DA7-4854-BEB0-59C3E41043C6}" name="PROD_END_TIME" dataDxfId="5"/>
    <tableColumn id="13" xr3:uid="{E02A141B-D29A-49E2-AF6C-3ACD911C25B9}" name="ITEMNO" dataDxfId="4"/>
    <tableColumn id="7" xr3:uid="{7058ACE2-C9C3-419E-BB8C-887D0CB53544}" name="DESCRIP"/>
    <tableColumn id="6" xr3:uid="{4A0614C7-5B9F-424C-9B0B-38150DF0A05E}" name="STD_CAV"/>
    <tableColumn id="5" xr3:uid="{1A2D1F7C-263C-4E66-BF07-77D4B52E9914}" name="ACT_CAV"/>
    <tableColumn id="4" xr3:uid="{CBA4EC9B-3F9D-4E8D-84D7-21AB4ABB89FB}" name="PTWT_DISP" dataDxfId="3" dataCellStyle="Comma"/>
    <tableColumn id="3" xr3:uid="{FB52047C-47DD-4248-972D-F2432F4C00A3}" name="CYCLE_TIME"/>
    <tableColumn id="2" xr3:uid="{9F225CB0-9404-487F-809C-220FA0D0E754}" name="PCS_PER_CTN"/>
    <tableColumn id="1" xr3:uid="{40CB0071-1426-4B49-A018-89D3806EEA2E}" name="CURR_CYCLE_TIME"/>
    <tableColumn id="18" xr3:uid="{7F559888-87E9-4ACA-8619-B928E918118E}" name="PCS_PER_HR" dataDxfId="2" dataCellStyle="Comma">
      <calculatedColumnFormula>(Active_Sched[[#This Row],[ACT_CAV]]/Active_Sched[[#This Row],[CYCLE_TIME]])*3600</calculatedColumnFormula>
    </tableColumn>
    <tableColumn id="8" xr3:uid="{33591E2C-23CA-4BDB-8FA5-B2AD7CEDF17D}" name="Cartons Per Hour" dataDxfId="1" dataCellStyle="Comma">
      <calculatedColumnFormula>Active_Sched[[#This Row],[PCS_PER_HR]]/Active_Sched[[#This Row],[PCS_PER_CTN]]</calculatedColumnFormula>
    </tableColumn>
    <tableColumn id="14" xr3:uid="{2F258FD6-9519-4703-98B6-ACCFC04C7C8D}" name="WorkCenter">
      <calculatedColumnFormula array="1">_xlfn.REGEXEXTRACT(Active_Sched[[#This Row],[CNTR_DESC]],"- (.*)", 2)</calculatedColumnFormula>
    </tableColumn>
    <tableColumn id="10" xr3:uid="{9D0F4020-9ADF-4087-B601-0E436A29BFD5}" name="Cavitation %" dataDxfId="0" dataCellStyle="Percent">
      <calculatedColumnFormula>Active_Sched[[#This Row],[ACT_CAV]]/Active_Sched[[#This Row],[STD_CAV]]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430FA8-F3CE-42E4-BE46-F7A533ADE2CE}" name="GL_Table" displayName="GL_Table" ref="A5:AT242" totalsRowShown="0">
  <autoFilter ref="A5:AT242" xr:uid="{E8430FA8-F3CE-42E4-BE46-F7A533ADE2CE}"/>
  <sortState xmlns:xlrd2="http://schemas.microsoft.com/office/spreadsheetml/2017/richdata2" ref="A6:AT6">
    <sortCondition descending="1" ref="B5:B6"/>
  </sortState>
  <tableColumns count="46">
    <tableColumn id="46" xr3:uid="{4D359B96-8C5E-4B7E-8B39-0DB78CEBFA3C}" name="EPLANT_ID"/>
    <tableColumn id="45" xr3:uid="{062E8A20-EB41-48F2-AB9E-9AC655BF9D8F}" name="ACT_DATE" dataDxfId="12"/>
    <tableColumn id="44" xr3:uid="{FB524FA4-BA67-4B9B-94D0-30E33D1AB1A2}" name="TRANS_DATE" dataDxfId="11"/>
    <tableColumn id="43" xr3:uid="{F88C7031-867D-42E8-A221-2623F2BFE3FD}" name="TransLogID"/>
    <tableColumn id="42" xr3:uid="{4B56EF6C-7024-41CA-8812-4A90DFDB2566}" name="TransYear"/>
    <tableColumn id="41" xr3:uid="{A4F91E6B-8DEF-4F94-8619-BD2396C5089C}" name="TransMonth"/>
    <tableColumn id="40" xr3:uid="{2E8E0D7C-858C-401E-8474-7193199E2659}" name="TransDay"/>
    <tableColumn id="39" xr3:uid="{C901FAB6-F11A-47A4-808F-B69EFFD9CE54}" name="ITEMNO" dataDxfId="10"/>
    <tableColumn id="38" xr3:uid="{46B67D06-7B20-4A3D-9E0E-52220073F279}" name="ItemDescription"/>
    <tableColumn id="37" xr3:uid="{F748F1AA-521C-476C-A818-72C9910AB106}" name="CLASS"/>
    <tableColumn id="36" xr3:uid="{EB5F35EC-9A64-401C-AD67-2540501F091D}" name="InventoryGroup"/>
    <tableColumn id="35" xr3:uid="{4BA50070-CC16-4AC8-93CA-A612EF7BA039}" name="LOC_DESC"/>
    <tableColumn id="34" xr3:uid="{B5ABB51F-3DF1-4F26-916E-AB8D89EBD227}" name="LOCATION_DESCRIP"/>
    <tableColumn id="33" xr3:uid="{C1649567-63D0-4326-A44C-E244897DDB83}" name="TRANS_IN_OUT"/>
    <tableColumn id="32" xr3:uid="{D630C893-3320-4B8C-9F66-3438A3DFAA50}" name="BEGIN_QUAN_TOTAL" dataCellStyle="Comma"/>
    <tableColumn id="31" xr3:uid="{26208F49-63AC-4A74-803E-FA137A597EDB}" name="EXT COST" dataCellStyle="Comma"/>
    <tableColumn id="30" xr3:uid="{9633338C-1689-4407-B4AB-C2FB77265147}" name="NET_QTY" dataCellStyle="Comma"/>
    <tableColumn id="29" xr3:uid="{DDE5BECD-1462-45BF-8F3F-B411957B2F23}" name="TRANS_QUAN" dataCellStyle="Comma"/>
    <tableColumn id="28" xr3:uid="{0F4CCDC0-6903-462E-8217-6100893AFEA8}" name="TRANS_TYPE_CODE"/>
    <tableColumn id="27" xr3:uid="{4FD47D6C-2A45-45E4-98D9-F3F7A6F25027}" name="TRANS_TYPE"/>
    <tableColumn id="26" xr3:uid="{049F5B9A-D119-4FE2-BDA6-CC6267039F8A}" name="DIVISION_ID"/>
    <tableColumn id="25" xr3:uid="{D4B4F8A7-50AE-49F4-A020-088CFEA978CD}" name="DIVISION_NAME"/>
    <tableColumn id="24" xr3:uid="{3695B4A4-82FC-4276-A7ED-AEB55FDD2082}" name="MFGNO" dataDxfId="9"/>
    <tableColumn id="23" xr3:uid="{3008D232-C3A8-4FDB-BDB1-315ADE080C7F}" name="CurrentStdCost" dataDxfId="8" dataCellStyle="Comma"/>
    <tableColumn id="22" xr3:uid="{2AD0F204-A9EC-4D4B-B082-E978C5EF3DAE}" name="TransLogStdCost" dataDxfId="7" dataCellStyle="Comma"/>
    <tableColumn id="21" xr3:uid="{D59EC1B1-E8D6-4A3B-832D-719557F5225A}" name="COST_ELEMENT"/>
    <tableColumn id="20" xr3:uid="{72DAE789-04A8-49FE-B923-C83CC5B5E645}" name="ARINVT_ID"/>
    <tableColumn id="19" xr3:uid="{F7FDA20C-8B31-43B5-BFCA-C1EF6ABA1E4D}" name="SUB_BATCH"/>
    <tableColumn id="18" xr3:uid="{96555638-B3BF-43A2-BD6E-BE24CC847BD1}" name="ACT_QTY"/>
    <tableColumn id="17" xr3:uid="{C4696F62-5643-4FEE-B8B9-926DD2037FC5}" name="FGMULTI_ID"/>
    <tableColumn id="16" xr3:uid="{64F55643-3F17-458E-89C3-B9E3008379D5}" name="PROD_DATE"/>
    <tableColumn id="15" xr3:uid="{9BC1F2DB-AC20-4B8D-B328-045CE3BB1073}" name="RECV_DATE"/>
    <tableColumn id="14" xr3:uid="{445EA2DE-231D-4787-A4DC-D31072A412AB}" name="WORKORDER_ID"/>
    <tableColumn id="13" xr3:uid="{9677C6B1-EA7A-458E-B18E-E507DF8F2801}" name="SOURCE"/>
    <tableColumn id="12" xr3:uid="{B3761BF3-8358-4894-B601-D3A836F9A536}" name="RECEIPTNO"/>
    <tableColumn id="11" xr3:uid="{21039226-E7CB-4250-905B-35C811AA6ACE}" name="PARENT_ARINVT_ID"/>
    <tableColumn id="10" xr3:uid="{6F3D34D3-547E-483D-A0F1-818EEB890BE4}" name="LOTNO"/>
    <tableColumn id="9" xr3:uid="{41215A57-89EA-4AD1-A3EF-A6C7FF48C234}" name="FG_LOTNO"/>
    <tableColumn id="8" xr3:uid="{37E5846B-7265-4215-B7D1-4A3467F84892}" name="ORDERNO"/>
    <tableColumn id="7" xr3:uid="{69A48F1C-90C2-40F3-9486-60AD25CAC8AF}" name="USERID"/>
    <tableColumn id="6" xr3:uid="{3E34CB51-F12B-4526-8FAF-F34D0C58C436}" name="ACT_COST"/>
    <tableColumn id="5" xr3:uid="{35A22F47-6208-4E28-8BB5-182A8B41C386}" name="ParentItemNo"/>
    <tableColumn id="4" xr3:uid="{9185F395-8475-4477-9FEE-E69B31A6099B}" name="ParentItemDescription"/>
    <tableColumn id="3" xr3:uid="{CB2ABEE1-D016-4AE1-82A9-04D0DCB23AD8}" name="ParentInvGrpDescription"/>
    <tableColumn id="2" xr3:uid="{5E7C1B94-FAE0-4C64-B4C5-65166CB593D2}" name="ParentCode"/>
    <tableColumn id="1" xr3:uid="{62A720B0-86FE-4694-AFEB-10688A8F95FD}" name="TRANS_R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24EE-42DF-45C8-A94B-7B9E8674E9FB}">
  <sheetPr codeName="Sheet1"/>
  <dimension ref="A1:S68"/>
  <sheetViews>
    <sheetView tabSelected="1" topLeftCell="A3" workbookViewId="0"/>
  </sheetViews>
  <sheetFormatPr defaultRowHeight="14.4" x14ac:dyDescent="0.3"/>
  <cols>
    <col min="1" max="1" width="12.109375" bestFit="1" customWidth="1"/>
    <col min="2" max="2" width="11" bestFit="1" customWidth="1"/>
    <col min="3" max="3" width="17.33203125" bestFit="1" customWidth="1"/>
    <col min="4" max="4" width="18.6640625" style="5" bestFit="1" customWidth="1"/>
    <col min="5" max="5" width="17.109375" style="5" bestFit="1" customWidth="1"/>
    <col min="6" max="6" width="19.6640625" style="1" bestFit="1" customWidth="1"/>
    <col min="7" max="7" width="53.44140625" style="1" bestFit="1" customWidth="1"/>
    <col min="8" max="9" width="10.6640625" style="6" bestFit="1" customWidth="1"/>
    <col min="10" max="10" width="13.88671875" style="6" bestFit="1" customWidth="1"/>
    <col min="11" max="11" width="13.21875" bestFit="1" customWidth="1"/>
    <col min="12" max="12" width="14.88671875" style="6" bestFit="1" customWidth="1"/>
    <col min="13" max="13" width="18.77734375" style="6" bestFit="1" customWidth="1"/>
    <col min="14" max="14" width="15.33203125" bestFit="1" customWidth="1"/>
    <col min="15" max="15" width="18.5546875" bestFit="1" customWidth="1"/>
    <col min="16" max="16" width="13.109375" bestFit="1" customWidth="1"/>
    <col min="17" max="17" width="13.6640625" style="8" bestFit="1" customWidth="1"/>
  </cols>
  <sheetData>
    <row r="1" spans="1:19" ht="15" thickBot="1" x14ac:dyDescent="0.35">
      <c r="A1" s="2" t="s">
        <v>0</v>
      </c>
      <c r="B1" s="3" t="str">
        <f>_xll.GEXD("...\IQMS Production Data\Live_Schedule_JB.edq","Active_Sched","Active_Sched:1","Y","Y","Y")</f>
        <v>GenQueryDetail&lt;...\IQMS PRODUCTION DATA\LIVE_SCHEDULE_JB.EDQ,Active_Sched,Active_Sched:1,Y,Y,Y,,,,,,,,,,,,,,,,,,,,,,,,,&gt;</v>
      </c>
      <c r="C1" s="4"/>
    </row>
    <row r="3" spans="1:19" x14ac:dyDescent="0.3">
      <c r="K3" s="7"/>
    </row>
    <row r="4" spans="1:19" x14ac:dyDescent="0.3">
      <c r="S4" s="6" t="s">
        <v>46</v>
      </c>
    </row>
    <row r="5" spans="1:19" x14ac:dyDescent="0.3">
      <c r="A5" t="s">
        <v>1</v>
      </c>
      <c r="B5" t="s">
        <v>2</v>
      </c>
      <c r="C5" t="s">
        <v>7</v>
      </c>
      <c r="D5" s="5" t="s">
        <v>3</v>
      </c>
      <c r="E5" s="5" t="s">
        <v>4</v>
      </c>
      <c r="F5" s="1" t="s">
        <v>8</v>
      </c>
      <c r="G5" t="s">
        <v>27</v>
      </c>
      <c r="H5" t="s">
        <v>52</v>
      </c>
      <c r="I5" t="s">
        <v>33</v>
      </c>
      <c r="J5" s="6" t="s">
        <v>32</v>
      </c>
      <c r="K5" t="s">
        <v>34</v>
      </c>
      <c r="L5" t="s">
        <v>35</v>
      </c>
      <c r="M5" t="s">
        <v>40</v>
      </c>
      <c r="N5" s="6" t="s">
        <v>37</v>
      </c>
      <c r="O5" s="6" t="s">
        <v>36</v>
      </c>
      <c r="P5" t="s">
        <v>31</v>
      </c>
      <c r="Q5" s="8" t="s">
        <v>51</v>
      </c>
      <c r="S5" s="6" t="s">
        <v>45</v>
      </c>
    </row>
    <row r="6" spans="1:19" x14ac:dyDescent="0.3">
      <c r="A6">
        <v>3</v>
      </c>
      <c r="B6" t="s">
        <v>5</v>
      </c>
      <c r="C6" t="s">
        <v>9</v>
      </c>
      <c r="D6" s="5">
        <v>46302.46371527778</v>
      </c>
      <c r="E6" s="5">
        <v>46304.48877314815</v>
      </c>
      <c r="F6" s="1" t="s">
        <v>53</v>
      </c>
      <c r="G6" t="s">
        <v>54</v>
      </c>
      <c r="H6">
        <v>16</v>
      </c>
      <c r="I6">
        <v>16</v>
      </c>
      <c r="J6" s="6">
        <v>9.5</v>
      </c>
      <c r="K6">
        <v>6.5</v>
      </c>
      <c r="L6">
        <v>350</v>
      </c>
      <c r="M6">
        <v>6.54</v>
      </c>
      <c r="N6" s="6">
        <f>(Active_Sched[[#This Row],[ACT_CAV]]/Active_Sched[[#This Row],[CYCLE_TIME]])*3600</f>
        <v>8861.5384615384628</v>
      </c>
      <c r="O6" s="6">
        <f>Active_Sched[[#This Row],[PCS_PER_HR]]/Active_Sched[[#This Row],[PCS_PER_CTN]]</f>
        <v>25.318681318681321</v>
      </c>
      <c r="P6" t="str" cm="1">
        <f t="array" ref="P6">_xlfn.REGEXEXTRACT(Active_Sched[[#This Row],[CNTR_DESC]],"- (.*)", 2)</f>
        <v>M03</v>
      </c>
      <c r="Q6" s="8">
        <f>Active_Sched[[#This Row],[ACT_CAV]]/Active_Sched[[#This Row],[STD_CAV]]</f>
        <v>1</v>
      </c>
    </row>
    <row r="7" spans="1:19" x14ac:dyDescent="0.3">
      <c r="A7">
        <v>3</v>
      </c>
      <c r="B7" t="s">
        <v>5</v>
      </c>
      <c r="C7" t="s">
        <v>13</v>
      </c>
      <c r="D7" s="5">
        <v>46308.490740740737</v>
      </c>
      <c r="E7" s="5">
        <v>46310.596655092595</v>
      </c>
      <c r="F7" s="1" t="s">
        <v>97</v>
      </c>
      <c r="G7" t="s">
        <v>98</v>
      </c>
      <c r="H7">
        <v>16</v>
      </c>
      <c r="I7">
        <v>13</v>
      </c>
      <c r="J7" s="6">
        <v>12</v>
      </c>
      <c r="K7">
        <v>7.75</v>
      </c>
      <c r="L7">
        <v>300</v>
      </c>
      <c r="M7"/>
      <c r="N7" s="6">
        <f>(Active_Sched[[#This Row],[ACT_CAV]]/Active_Sched[[#This Row],[CYCLE_TIME]])*3600</f>
        <v>6038.7096774193551</v>
      </c>
      <c r="O7" s="6">
        <f>Active_Sched[[#This Row],[PCS_PER_HR]]/Active_Sched[[#This Row],[PCS_PER_CTN]]</f>
        <v>20.129032258064516</v>
      </c>
      <c r="P7" t="str" cm="1">
        <f t="array" ref="P7">_xlfn.REGEXEXTRACT(Active_Sched[[#This Row],[CNTR_DESC]],"- (.*)", 2)</f>
        <v>MX02</v>
      </c>
      <c r="Q7" s="8">
        <f>Active_Sched[[#This Row],[ACT_CAV]]/Active_Sched[[#This Row],[STD_CAV]]</f>
        <v>0.8125</v>
      </c>
    </row>
    <row r="8" spans="1:19" x14ac:dyDescent="0.3">
      <c r="A8">
        <v>3</v>
      </c>
      <c r="B8" t="s">
        <v>5</v>
      </c>
      <c r="C8" t="s">
        <v>15</v>
      </c>
      <c r="D8" s="5">
        <v>46302.44226851852</v>
      </c>
      <c r="E8" s="5">
        <v>46303.399988425925</v>
      </c>
      <c r="F8" s="1" t="s">
        <v>55</v>
      </c>
      <c r="G8" t="s">
        <v>56</v>
      </c>
      <c r="H8">
        <v>8</v>
      </c>
      <c r="I8">
        <v>8</v>
      </c>
      <c r="J8" s="6">
        <v>10.3</v>
      </c>
      <c r="K8">
        <v>7.5</v>
      </c>
      <c r="L8">
        <v>325</v>
      </c>
      <c r="M8"/>
      <c r="N8" s="6">
        <f>(Active_Sched[[#This Row],[ACT_CAV]]/Active_Sched[[#This Row],[CYCLE_TIME]])*3600</f>
        <v>3840</v>
      </c>
      <c r="O8" s="6">
        <f>Active_Sched[[#This Row],[PCS_PER_HR]]/Active_Sched[[#This Row],[PCS_PER_CTN]]</f>
        <v>11.815384615384616</v>
      </c>
      <c r="P8" t="str" cm="1">
        <f t="array" ref="P8">_xlfn.REGEXEXTRACT(Active_Sched[[#This Row],[CNTR_DESC]],"- (.*)", 2)</f>
        <v>MX08</v>
      </c>
      <c r="Q8" s="8">
        <f>Active_Sched[[#This Row],[ACT_CAV]]/Active_Sched[[#This Row],[STD_CAV]]</f>
        <v>1</v>
      </c>
    </row>
    <row r="9" spans="1:19" x14ac:dyDescent="0.3">
      <c r="A9">
        <v>3</v>
      </c>
      <c r="B9" t="s">
        <v>5</v>
      </c>
      <c r="C9" t="s">
        <v>15</v>
      </c>
      <c r="D9" s="5">
        <v>46303.565393518518</v>
      </c>
      <c r="E9" s="5">
        <v>46310.168599537035</v>
      </c>
      <c r="F9" s="1" t="s">
        <v>57</v>
      </c>
      <c r="G9" t="s">
        <v>58</v>
      </c>
      <c r="H9">
        <v>8</v>
      </c>
      <c r="I9">
        <v>8</v>
      </c>
      <c r="J9" s="6">
        <v>9.3000000000000007</v>
      </c>
      <c r="K9">
        <v>7</v>
      </c>
      <c r="L9">
        <v>375</v>
      </c>
      <c r="M9"/>
      <c r="N9" s="6">
        <f>(Active_Sched[[#This Row],[ACT_CAV]]/Active_Sched[[#This Row],[CYCLE_TIME]])*3600</f>
        <v>4114.2857142857138</v>
      </c>
      <c r="O9" s="6">
        <f>Active_Sched[[#This Row],[PCS_PER_HR]]/Active_Sched[[#This Row],[PCS_PER_CTN]]</f>
        <v>10.97142857142857</v>
      </c>
      <c r="P9" t="str" cm="1">
        <f t="array" ref="P9">_xlfn.REGEXEXTRACT(Active_Sched[[#This Row],[CNTR_DESC]],"- (.*)", 2)</f>
        <v>MX08</v>
      </c>
      <c r="Q9" s="8">
        <f>Active_Sched[[#This Row],[ACT_CAV]]/Active_Sched[[#This Row],[STD_CAV]]</f>
        <v>1</v>
      </c>
    </row>
    <row r="10" spans="1:19" x14ac:dyDescent="0.3">
      <c r="A10">
        <v>3</v>
      </c>
      <c r="B10" t="s">
        <v>5</v>
      </c>
      <c r="C10" t="s">
        <v>15</v>
      </c>
      <c r="D10" s="5">
        <v>46303.399988425925</v>
      </c>
      <c r="E10" s="5">
        <v>46303.565393518518</v>
      </c>
      <c r="F10" s="1" t="s">
        <v>57</v>
      </c>
      <c r="G10" t="s">
        <v>58</v>
      </c>
      <c r="H10">
        <v>8</v>
      </c>
      <c r="I10">
        <v>8</v>
      </c>
      <c r="J10" s="6">
        <v>9.3000000000000007</v>
      </c>
      <c r="K10">
        <v>7</v>
      </c>
      <c r="L10">
        <v>375</v>
      </c>
      <c r="M10"/>
      <c r="N10" s="6">
        <f>(Active_Sched[[#This Row],[ACT_CAV]]/Active_Sched[[#This Row],[CYCLE_TIME]])*3600</f>
        <v>4114.2857142857138</v>
      </c>
      <c r="O10" s="6">
        <f>Active_Sched[[#This Row],[PCS_PER_HR]]/Active_Sched[[#This Row],[PCS_PER_CTN]]</f>
        <v>10.97142857142857</v>
      </c>
      <c r="P10" t="str" cm="1">
        <f t="array" ref="P10">_xlfn.REGEXEXTRACT(Active_Sched[[#This Row],[CNTR_DESC]],"- (.*)", 2)</f>
        <v>MX08</v>
      </c>
      <c r="Q10" s="8">
        <f>Active_Sched[[#This Row],[ACT_CAV]]/Active_Sched[[#This Row],[STD_CAV]]</f>
        <v>1</v>
      </c>
    </row>
    <row r="11" spans="1:19" x14ac:dyDescent="0.3">
      <c r="A11">
        <v>3</v>
      </c>
      <c r="B11" t="s">
        <v>5</v>
      </c>
      <c r="C11" t="s">
        <v>13</v>
      </c>
      <c r="D11" s="5">
        <v>46307.453842592593</v>
      </c>
      <c r="E11" s="5">
        <v>46308.490740740737</v>
      </c>
      <c r="F11" s="1" t="s">
        <v>59</v>
      </c>
      <c r="G11" t="s">
        <v>60</v>
      </c>
      <c r="H11">
        <v>16</v>
      </c>
      <c r="I11">
        <v>15</v>
      </c>
      <c r="J11" s="6">
        <v>3.1</v>
      </c>
      <c r="K11">
        <v>5</v>
      </c>
      <c r="L11">
        <v>1900</v>
      </c>
      <c r="M11"/>
      <c r="N11" s="6">
        <f>(Active_Sched[[#This Row],[ACT_CAV]]/Active_Sched[[#This Row],[CYCLE_TIME]])*3600</f>
        <v>10800</v>
      </c>
      <c r="O11" s="6">
        <f>Active_Sched[[#This Row],[PCS_PER_HR]]/Active_Sched[[#This Row],[PCS_PER_CTN]]</f>
        <v>5.6842105263157894</v>
      </c>
      <c r="P11" t="str" cm="1">
        <f t="array" ref="P11">_xlfn.REGEXEXTRACT(Active_Sched[[#This Row],[CNTR_DESC]],"- (.*)", 2)</f>
        <v>MX02</v>
      </c>
      <c r="Q11" s="8">
        <f>Active_Sched[[#This Row],[ACT_CAV]]/Active_Sched[[#This Row],[STD_CAV]]</f>
        <v>0.9375</v>
      </c>
    </row>
    <row r="12" spans="1:19" x14ac:dyDescent="0.3">
      <c r="A12">
        <v>3</v>
      </c>
      <c r="B12" t="s">
        <v>5</v>
      </c>
      <c r="C12" t="s">
        <v>13</v>
      </c>
      <c r="D12" s="5">
        <v>46305.129791666666</v>
      </c>
      <c r="E12" s="5">
        <v>46307.453842592593</v>
      </c>
      <c r="F12" s="1" t="s">
        <v>61</v>
      </c>
      <c r="G12" t="s">
        <v>62</v>
      </c>
      <c r="H12">
        <v>16</v>
      </c>
      <c r="I12">
        <v>16</v>
      </c>
      <c r="J12" s="6">
        <v>3.8</v>
      </c>
      <c r="K12">
        <v>5.75</v>
      </c>
      <c r="L12">
        <v>1500</v>
      </c>
      <c r="M12"/>
      <c r="N12" s="6">
        <f>(Active_Sched[[#This Row],[ACT_CAV]]/Active_Sched[[#This Row],[CYCLE_TIME]])*3600</f>
        <v>10017.391304347826</v>
      </c>
      <c r="O12" s="6">
        <f>Active_Sched[[#This Row],[PCS_PER_HR]]/Active_Sched[[#This Row],[PCS_PER_CTN]]</f>
        <v>6.678260869565217</v>
      </c>
      <c r="P12" t="str" cm="1">
        <f t="array" ref="P12">_xlfn.REGEXEXTRACT(Active_Sched[[#This Row],[CNTR_DESC]],"- (.*)", 2)</f>
        <v>MX02</v>
      </c>
      <c r="Q12" s="8">
        <f>Active_Sched[[#This Row],[ACT_CAV]]/Active_Sched[[#This Row],[STD_CAV]]</f>
        <v>1</v>
      </c>
    </row>
    <row r="13" spans="1:19" x14ac:dyDescent="0.3">
      <c r="A13">
        <v>3</v>
      </c>
      <c r="B13" t="s">
        <v>5</v>
      </c>
      <c r="C13" t="s">
        <v>13</v>
      </c>
      <c r="D13" s="5">
        <v>46304.088703703703</v>
      </c>
      <c r="E13" s="5">
        <v>46305.129791666666</v>
      </c>
      <c r="F13" s="1" t="s">
        <v>63</v>
      </c>
      <c r="G13" t="s">
        <v>64</v>
      </c>
      <c r="H13">
        <v>16</v>
      </c>
      <c r="I13">
        <v>16</v>
      </c>
      <c r="J13" s="6">
        <v>3.8</v>
      </c>
      <c r="K13">
        <v>5.25</v>
      </c>
      <c r="L13">
        <v>1500</v>
      </c>
      <c r="M13"/>
      <c r="N13" s="6">
        <f>(Active_Sched[[#This Row],[ACT_CAV]]/Active_Sched[[#This Row],[CYCLE_TIME]])*3600</f>
        <v>10971.428571428571</v>
      </c>
      <c r="O13" s="6">
        <f>Active_Sched[[#This Row],[PCS_PER_HR]]/Active_Sched[[#This Row],[PCS_PER_CTN]]</f>
        <v>7.3142857142857141</v>
      </c>
      <c r="P13" t="str" cm="1">
        <f t="array" ref="P13">_xlfn.REGEXEXTRACT(Active_Sched[[#This Row],[CNTR_DESC]],"- (.*)", 2)</f>
        <v>MX02</v>
      </c>
      <c r="Q13" s="8">
        <f>Active_Sched[[#This Row],[ACT_CAV]]/Active_Sched[[#This Row],[STD_CAV]]</f>
        <v>1</v>
      </c>
    </row>
    <row r="14" spans="1:19" x14ac:dyDescent="0.3">
      <c r="A14">
        <v>3</v>
      </c>
      <c r="B14" t="s">
        <v>5</v>
      </c>
      <c r="C14" t="s">
        <v>21</v>
      </c>
      <c r="D14" s="5">
        <v>46304.853645833333</v>
      </c>
      <c r="E14" s="5">
        <v>46307.774618055555</v>
      </c>
      <c r="F14" s="1" t="s">
        <v>99</v>
      </c>
      <c r="G14" t="s">
        <v>100</v>
      </c>
      <c r="H14">
        <v>16</v>
      </c>
      <c r="I14">
        <v>15</v>
      </c>
      <c r="J14" s="6">
        <v>10.6</v>
      </c>
      <c r="K14">
        <v>7</v>
      </c>
      <c r="L14">
        <v>350</v>
      </c>
      <c r="M14"/>
      <c r="N14" s="6">
        <f>(Active_Sched[[#This Row],[ACT_CAV]]/Active_Sched[[#This Row],[CYCLE_TIME]])*3600</f>
        <v>7714.2857142857138</v>
      </c>
      <c r="O14" s="6">
        <f>Active_Sched[[#This Row],[PCS_PER_HR]]/Active_Sched[[#This Row],[PCS_PER_CTN]]</f>
        <v>22.04081632653061</v>
      </c>
      <c r="P14" t="str" cm="1">
        <f t="array" ref="P14">_xlfn.REGEXEXTRACT(Active_Sched[[#This Row],[CNTR_DESC]],"- (.*)", 2)</f>
        <v>M01</v>
      </c>
      <c r="Q14" s="8">
        <f>Active_Sched[[#This Row],[ACT_CAV]]/Active_Sched[[#This Row],[STD_CAV]]</f>
        <v>0.9375</v>
      </c>
    </row>
    <row r="15" spans="1:19" x14ac:dyDescent="0.3">
      <c r="A15">
        <v>3</v>
      </c>
      <c r="B15" t="s">
        <v>5</v>
      </c>
      <c r="C15" t="s">
        <v>14</v>
      </c>
      <c r="D15" s="5">
        <v>46308.078668981485</v>
      </c>
      <c r="E15" s="5">
        <v>46310.391168981485</v>
      </c>
      <c r="F15" s="1" t="s">
        <v>127</v>
      </c>
      <c r="G15" t="s">
        <v>128</v>
      </c>
      <c r="H15">
        <v>8</v>
      </c>
      <c r="I15">
        <v>7</v>
      </c>
      <c r="J15" s="6">
        <v>2.2000000000000002</v>
      </c>
      <c r="K15">
        <v>5.25</v>
      </c>
      <c r="L15">
        <v>3000</v>
      </c>
      <c r="M15"/>
      <c r="N15" s="6">
        <f>(Active_Sched[[#This Row],[ACT_CAV]]/Active_Sched[[#This Row],[CYCLE_TIME]])*3600</f>
        <v>4800</v>
      </c>
      <c r="O15" s="6">
        <f>Active_Sched[[#This Row],[PCS_PER_HR]]/Active_Sched[[#This Row],[PCS_PER_CTN]]</f>
        <v>1.6</v>
      </c>
      <c r="P15" t="str" cm="1">
        <f t="array" ref="P15">_xlfn.REGEXEXTRACT(Active_Sched[[#This Row],[CNTR_DESC]],"- (.*)", 2)</f>
        <v>MX09</v>
      </c>
      <c r="Q15" s="8">
        <f>Active_Sched[[#This Row],[ACT_CAV]]/Active_Sched[[#This Row],[STD_CAV]]</f>
        <v>0.875</v>
      </c>
    </row>
    <row r="16" spans="1:19" x14ac:dyDescent="0.3">
      <c r="A16">
        <v>3</v>
      </c>
      <c r="B16" t="s">
        <v>5</v>
      </c>
      <c r="C16" t="s">
        <v>14</v>
      </c>
      <c r="D16" s="5">
        <v>46304.604085648149</v>
      </c>
      <c r="E16" s="5">
        <v>46308.078668981485</v>
      </c>
      <c r="F16" s="1" t="s">
        <v>65</v>
      </c>
      <c r="G16" t="s">
        <v>66</v>
      </c>
      <c r="H16">
        <v>8</v>
      </c>
      <c r="I16">
        <v>8</v>
      </c>
      <c r="J16" s="6">
        <v>3.4</v>
      </c>
      <c r="K16">
        <v>5.75</v>
      </c>
      <c r="L16">
        <v>1800</v>
      </c>
      <c r="M16"/>
      <c r="N16" s="6">
        <f>(Active_Sched[[#This Row],[ACT_CAV]]/Active_Sched[[#This Row],[CYCLE_TIME]])*3600</f>
        <v>5008.695652173913</v>
      </c>
      <c r="O16" s="6">
        <f>Active_Sched[[#This Row],[PCS_PER_HR]]/Active_Sched[[#This Row],[PCS_PER_CTN]]</f>
        <v>2.7826086956521738</v>
      </c>
      <c r="P16" t="str" cm="1">
        <f t="array" ref="P16">_xlfn.REGEXEXTRACT(Active_Sched[[#This Row],[CNTR_DESC]],"- (.*)", 2)</f>
        <v>MX09</v>
      </c>
      <c r="Q16" s="8">
        <f>Active_Sched[[#This Row],[ACT_CAV]]/Active_Sched[[#This Row],[STD_CAV]]</f>
        <v>1</v>
      </c>
    </row>
    <row r="17" spans="1:17" x14ac:dyDescent="0.3">
      <c r="A17">
        <v>3</v>
      </c>
      <c r="B17" t="s">
        <v>5</v>
      </c>
      <c r="C17" t="s">
        <v>13</v>
      </c>
      <c r="D17" s="5">
        <v>46302.464282407411</v>
      </c>
      <c r="E17" s="5">
        <v>46304.088703703703</v>
      </c>
      <c r="F17" s="1" t="s">
        <v>26</v>
      </c>
      <c r="G17" t="s">
        <v>28</v>
      </c>
      <c r="H17">
        <v>16</v>
      </c>
      <c r="I17">
        <v>14</v>
      </c>
      <c r="J17" s="6">
        <v>3.1</v>
      </c>
      <c r="K17">
        <v>5.25</v>
      </c>
      <c r="L17">
        <v>1900</v>
      </c>
      <c r="M17"/>
      <c r="N17" s="6">
        <f>(Active_Sched[[#This Row],[ACT_CAV]]/Active_Sched[[#This Row],[CYCLE_TIME]])*3600</f>
        <v>9600</v>
      </c>
      <c r="O17" s="6">
        <f>Active_Sched[[#This Row],[PCS_PER_HR]]/Active_Sched[[#This Row],[PCS_PER_CTN]]</f>
        <v>5.0526315789473681</v>
      </c>
      <c r="P17" t="str" cm="1">
        <f t="array" ref="P17">_xlfn.REGEXEXTRACT(Active_Sched[[#This Row],[CNTR_DESC]],"- (.*)", 2)</f>
        <v>MX02</v>
      </c>
      <c r="Q17" s="8">
        <f>Active_Sched[[#This Row],[ACT_CAV]]/Active_Sched[[#This Row],[STD_CAV]]</f>
        <v>0.875</v>
      </c>
    </row>
    <row r="18" spans="1:17" x14ac:dyDescent="0.3">
      <c r="A18">
        <v>3</v>
      </c>
      <c r="B18" t="s">
        <v>5</v>
      </c>
      <c r="C18" t="s">
        <v>12</v>
      </c>
      <c r="D18" s="5">
        <v>46303.84783564815</v>
      </c>
      <c r="E18" s="5">
        <v>46305.034259259257</v>
      </c>
      <c r="F18" s="1" t="s">
        <v>101</v>
      </c>
      <c r="G18" t="s">
        <v>102</v>
      </c>
      <c r="H18">
        <v>8</v>
      </c>
      <c r="I18">
        <v>8</v>
      </c>
      <c r="J18" s="6">
        <v>5.4</v>
      </c>
      <c r="K18">
        <v>6.25</v>
      </c>
      <c r="L18">
        <v>800</v>
      </c>
      <c r="M18"/>
      <c r="N18" s="6">
        <f>(Active_Sched[[#This Row],[ACT_CAV]]/Active_Sched[[#This Row],[CYCLE_TIME]])*3600</f>
        <v>4608</v>
      </c>
      <c r="O18" s="6">
        <f>Active_Sched[[#This Row],[PCS_PER_HR]]/Active_Sched[[#This Row],[PCS_PER_CTN]]</f>
        <v>5.76</v>
      </c>
      <c r="P18" t="str" cm="1">
        <f t="array" ref="P18">_xlfn.REGEXEXTRACT(Active_Sched[[#This Row],[CNTR_DESC]],"- (.*)", 2)</f>
        <v>MX01</v>
      </c>
      <c r="Q18" s="8">
        <f>Active_Sched[[#This Row],[ACT_CAV]]/Active_Sched[[#This Row],[STD_CAV]]</f>
        <v>1</v>
      </c>
    </row>
    <row r="19" spans="1:17" x14ac:dyDescent="0.3">
      <c r="A19">
        <v>3</v>
      </c>
      <c r="B19" t="s">
        <v>5</v>
      </c>
      <c r="C19" t="s">
        <v>11</v>
      </c>
      <c r="D19" s="5">
        <v>46302.815416666665</v>
      </c>
      <c r="E19" s="5">
        <v>46303.079375000001</v>
      </c>
      <c r="F19" s="1" t="s">
        <v>38</v>
      </c>
      <c r="G19" t="s">
        <v>39</v>
      </c>
      <c r="H19">
        <v>16</v>
      </c>
      <c r="I19">
        <v>16</v>
      </c>
      <c r="J19" s="6">
        <v>6.3</v>
      </c>
      <c r="K19">
        <v>6</v>
      </c>
      <c r="L19">
        <v>700</v>
      </c>
      <c r="M19"/>
      <c r="N19" s="6">
        <f>(Active_Sched[[#This Row],[ACT_CAV]]/Active_Sched[[#This Row],[CYCLE_TIME]])*3600</f>
        <v>9600</v>
      </c>
      <c r="O19" s="6">
        <f>Active_Sched[[#This Row],[PCS_PER_HR]]/Active_Sched[[#This Row],[PCS_PER_CTN]]</f>
        <v>13.714285714285714</v>
      </c>
      <c r="P19" t="str" cm="1">
        <f t="array" ref="P19">_xlfn.REGEXEXTRACT(Active_Sched[[#This Row],[CNTR_DESC]],"- (.*)", 2)</f>
        <v>M02</v>
      </c>
      <c r="Q19" s="8">
        <f>Active_Sched[[#This Row],[ACT_CAV]]/Active_Sched[[#This Row],[STD_CAV]]</f>
        <v>1</v>
      </c>
    </row>
    <row r="20" spans="1:17" x14ac:dyDescent="0.3">
      <c r="A20">
        <v>3</v>
      </c>
      <c r="B20" t="s">
        <v>5</v>
      </c>
      <c r="C20" t="s">
        <v>11</v>
      </c>
      <c r="D20" s="5">
        <v>46302.463622685187</v>
      </c>
      <c r="E20" s="5">
        <v>46302.815416666665</v>
      </c>
      <c r="F20" s="1" t="s">
        <v>38</v>
      </c>
      <c r="G20" t="s">
        <v>39</v>
      </c>
      <c r="H20">
        <v>16</v>
      </c>
      <c r="I20">
        <v>16</v>
      </c>
      <c r="J20" s="6">
        <v>6.3</v>
      </c>
      <c r="K20">
        <v>6</v>
      </c>
      <c r="L20">
        <v>700</v>
      </c>
      <c r="M20"/>
      <c r="N20" s="6">
        <f>(Active_Sched[[#This Row],[ACT_CAV]]/Active_Sched[[#This Row],[CYCLE_TIME]])*3600</f>
        <v>9600</v>
      </c>
      <c r="O20" s="6">
        <f>Active_Sched[[#This Row],[PCS_PER_HR]]/Active_Sched[[#This Row],[PCS_PER_CTN]]</f>
        <v>13.714285714285714</v>
      </c>
      <c r="P20" t="str" cm="1">
        <f t="array" ref="P20">_xlfn.REGEXEXTRACT(Active_Sched[[#This Row],[CNTR_DESC]],"- (.*)", 2)</f>
        <v>M02</v>
      </c>
      <c r="Q20" s="8">
        <f>Active_Sched[[#This Row],[ACT_CAV]]/Active_Sched[[#This Row],[STD_CAV]]</f>
        <v>1</v>
      </c>
    </row>
    <row r="21" spans="1:17" x14ac:dyDescent="0.3">
      <c r="A21">
        <v>3</v>
      </c>
      <c r="B21" t="s">
        <v>5</v>
      </c>
      <c r="C21" t="s">
        <v>21</v>
      </c>
      <c r="D21" s="5">
        <v>46304.497430555559</v>
      </c>
      <c r="E21" s="5">
        <v>46304.853645833333</v>
      </c>
      <c r="F21" s="1" t="s">
        <v>67</v>
      </c>
      <c r="G21" t="s">
        <v>68</v>
      </c>
      <c r="H21">
        <v>16</v>
      </c>
      <c r="I21">
        <v>15</v>
      </c>
      <c r="J21" s="6">
        <v>10.6</v>
      </c>
      <c r="K21">
        <v>7</v>
      </c>
      <c r="L21">
        <v>350</v>
      </c>
      <c r="M21"/>
      <c r="N21" s="6">
        <f>(Active_Sched[[#This Row],[ACT_CAV]]/Active_Sched[[#This Row],[CYCLE_TIME]])*3600</f>
        <v>7714.2857142857138</v>
      </c>
      <c r="O21" s="6">
        <f>Active_Sched[[#This Row],[PCS_PER_HR]]/Active_Sched[[#This Row],[PCS_PER_CTN]]</f>
        <v>22.04081632653061</v>
      </c>
      <c r="P21" t="str" cm="1">
        <f t="array" ref="P21">_xlfn.REGEXEXTRACT(Active_Sched[[#This Row],[CNTR_DESC]],"- (.*)", 2)</f>
        <v>M01</v>
      </c>
      <c r="Q21" s="8">
        <f>Active_Sched[[#This Row],[ACT_CAV]]/Active_Sched[[#This Row],[STD_CAV]]</f>
        <v>0.9375</v>
      </c>
    </row>
    <row r="22" spans="1:17" x14ac:dyDescent="0.3">
      <c r="A22">
        <v>3</v>
      </c>
      <c r="B22" t="s">
        <v>5</v>
      </c>
      <c r="C22" t="s">
        <v>9</v>
      </c>
      <c r="D22" s="5">
        <v>46304.492939814816</v>
      </c>
      <c r="E22" s="5">
        <v>46307.503379629627</v>
      </c>
      <c r="F22" s="1" t="s">
        <v>103</v>
      </c>
      <c r="G22" t="s">
        <v>104</v>
      </c>
      <c r="H22">
        <v>8</v>
      </c>
      <c r="I22">
        <v>8</v>
      </c>
      <c r="J22" s="6">
        <v>4.12</v>
      </c>
      <c r="K22">
        <v>5.75</v>
      </c>
      <c r="L22">
        <v>1100</v>
      </c>
      <c r="M22"/>
      <c r="N22" s="6">
        <f>(Active_Sched[[#This Row],[ACT_CAV]]/Active_Sched[[#This Row],[CYCLE_TIME]])*3600</f>
        <v>5008.695652173913</v>
      </c>
      <c r="O22" s="6">
        <f>Active_Sched[[#This Row],[PCS_PER_HR]]/Active_Sched[[#This Row],[PCS_PER_CTN]]</f>
        <v>4.5533596837944668</v>
      </c>
      <c r="P22" t="str" cm="1">
        <f t="array" ref="P22">_xlfn.REGEXEXTRACT(Active_Sched[[#This Row],[CNTR_DESC]],"- (.*)", 2)</f>
        <v>M03</v>
      </c>
      <c r="Q22" s="8">
        <f>Active_Sched[[#This Row],[ACT_CAV]]/Active_Sched[[#This Row],[STD_CAV]]</f>
        <v>1</v>
      </c>
    </row>
    <row r="23" spans="1:17" x14ac:dyDescent="0.3">
      <c r="A23">
        <v>3</v>
      </c>
      <c r="B23" t="s">
        <v>5</v>
      </c>
      <c r="C23" t="s">
        <v>9</v>
      </c>
      <c r="D23" s="5">
        <v>46307.503379629627</v>
      </c>
      <c r="E23" s="5">
        <v>46309.729988425926</v>
      </c>
      <c r="F23" s="1" t="s">
        <v>103</v>
      </c>
      <c r="G23" t="s">
        <v>104</v>
      </c>
      <c r="H23">
        <v>16</v>
      </c>
      <c r="I23">
        <v>15</v>
      </c>
      <c r="J23" s="6">
        <v>4.12</v>
      </c>
      <c r="K23">
        <v>5.75</v>
      </c>
      <c r="L23">
        <v>1100</v>
      </c>
      <c r="M23"/>
      <c r="N23" s="6">
        <f>(Active_Sched[[#This Row],[ACT_CAV]]/Active_Sched[[#This Row],[CYCLE_TIME]])*3600</f>
        <v>9391.3043478260879</v>
      </c>
      <c r="O23" s="6">
        <f>Active_Sched[[#This Row],[PCS_PER_HR]]/Active_Sched[[#This Row],[PCS_PER_CTN]]</f>
        <v>8.537549407114625</v>
      </c>
      <c r="P23" t="str" cm="1">
        <f t="array" ref="P23">_xlfn.REGEXEXTRACT(Active_Sched[[#This Row],[CNTR_DESC]],"- (.*)", 2)</f>
        <v>M03</v>
      </c>
      <c r="Q23" s="8">
        <f>Active_Sched[[#This Row],[ACT_CAV]]/Active_Sched[[#This Row],[STD_CAV]]</f>
        <v>0.9375</v>
      </c>
    </row>
    <row r="24" spans="1:17" x14ac:dyDescent="0.3">
      <c r="A24">
        <v>3</v>
      </c>
      <c r="B24" t="s">
        <v>5</v>
      </c>
      <c r="C24" t="s">
        <v>21</v>
      </c>
      <c r="D24" s="5">
        <v>46302.463472222225</v>
      </c>
      <c r="E24" s="5">
        <v>46303.664270833331</v>
      </c>
      <c r="F24" s="1" t="s">
        <v>47</v>
      </c>
      <c r="G24" t="s">
        <v>41</v>
      </c>
      <c r="H24">
        <v>16</v>
      </c>
      <c r="I24">
        <v>16</v>
      </c>
      <c r="J24" s="6">
        <v>10.6</v>
      </c>
      <c r="K24">
        <v>7</v>
      </c>
      <c r="L24">
        <v>350</v>
      </c>
      <c r="M24">
        <v>7.1</v>
      </c>
      <c r="N24" s="6">
        <f>(Active_Sched[[#This Row],[ACT_CAV]]/Active_Sched[[#This Row],[CYCLE_TIME]])*3600</f>
        <v>8228.5714285714275</v>
      </c>
      <c r="O24" s="6">
        <f>Active_Sched[[#This Row],[PCS_PER_HR]]/Active_Sched[[#This Row],[PCS_PER_CTN]]</f>
        <v>23.510204081632651</v>
      </c>
      <c r="P24" t="str" cm="1">
        <f t="array" ref="P24">_xlfn.REGEXEXTRACT(Active_Sched[[#This Row],[CNTR_DESC]],"- (.*)", 2)</f>
        <v>M01</v>
      </c>
      <c r="Q24" s="8">
        <f>Active_Sched[[#This Row],[ACT_CAV]]/Active_Sched[[#This Row],[STD_CAV]]</f>
        <v>1</v>
      </c>
    </row>
    <row r="25" spans="1:17" x14ac:dyDescent="0.3">
      <c r="A25">
        <v>3</v>
      </c>
      <c r="B25" t="s">
        <v>5</v>
      </c>
      <c r="C25" t="s">
        <v>21</v>
      </c>
      <c r="D25" s="5">
        <v>46307.774618055555</v>
      </c>
      <c r="E25" s="5">
        <v>46309.121805555558</v>
      </c>
      <c r="F25" s="1" t="s">
        <v>69</v>
      </c>
      <c r="G25" t="s">
        <v>70</v>
      </c>
      <c r="H25">
        <v>16</v>
      </c>
      <c r="I25">
        <v>14</v>
      </c>
      <c r="J25" s="6">
        <v>7.1</v>
      </c>
      <c r="K25">
        <v>5.75</v>
      </c>
      <c r="L25">
        <v>600</v>
      </c>
      <c r="M25"/>
      <c r="N25" s="6">
        <f>(Active_Sched[[#This Row],[ACT_CAV]]/Active_Sched[[#This Row],[CYCLE_TIME]])*3600</f>
        <v>8765.217391304348</v>
      </c>
      <c r="O25" s="6">
        <f>Active_Sched[[#This Row],[PCS_PER_HR]]/Active_Sched[[#This Row],[PCS_PER_CTN]]</f>
        <v>14.608695652173914</v>
      </c>
      <c r="P25" t="str" cm="1">
        <f t="array" ref="P25">_xlfn.REGEXEXTRACT(Active_Sched[[#This Row],[CNTR_DESC]],"- (.*)", 2)</f>
        <v>M01</v>
      </c>
      <c r="Q25" s="8">
        <f>Active_Sched[[#This Row],[ACT_CAV]]/Active_Sched[[#This Row],[STD_CAV]]</f>
        <v>0.875</v>
      </c>
    </row>
    <row r="26" spans="1:17" x14ac:dyDescent="0.3">
      <c r="A26">
        <v>3</v>
      </c>
      <c r="B26" t="s">
        <v>5</v>
      </c>
      <c r="C26" t="s">
        <v>14</v>
      </c>
      <c r="D26" s="5">
        <v>46303.582650462966</v>
      </c>
      <c r="E26" s="5">
        <v>46304.604085648149</v>
      </c>
      <c r="F26" s="1" t="s">
        <v>71</v>
      </c>
      <c r="G26" t="s">
        <v>72</v>
      </c>
      <c r="H26">
        <v>8</v>
      </c>
      <c r="I26">
        <v>8</v>
      </c>
      <c r="J26" s="6">
        <v>2.2000000000000002</v>
      </c>
      <c r="K26">
        <v>5.25</v>
      </c>
      <c r="L26">
        <v>3000</v>
      </c>
      <c r="M26"/>
      <c r="N26" s="6">
        <f>(Active_Sched[[#This Row],[ACT_CAV]]/Active_Sched[[#This Row],[CYCLE_TIME]])*3600</f>
        <v>5485.7142857142853</v>
      </c>
      <c r="O26" s="6">
        <f>Active_Sched[[#This Row],[PCS_PER_HR]]/Active_Sched[[#This Row],[PCS_PER_CTN]]</f>
        <v>1.8285714285714285</v>
      </c>
      <c r="P26" t="str" cm="1">
        <f t="array" ref="P26">_xlfn.REGEXEXTRACT(Active_Sched[[#This Row],[CNTR_DESC]],"- (.*)", 2)</f>
        <v>MX09</v>
      </c>
      <c r="Q26" s="8">
        <f>Active_Sched[[#This Row],[ACT_CAV]]/Active_Sched[[#This Row],[STD_CAV]]</f>
        <v>1</v>
      </c>
    </row>
    <row r="27" spans="1:17" x14ac:dyDescent="0.3">
      <c r="A27">
        <v>3</v>
      </c>
      <c r="B27" t="s">
        <v>5</v>
      </c>
      <c r="C27" t="s">
        <v>14</v>
      </c>
      <c r="D27" s="5">
        <v>46302.451226851852</v>
      </c>
      <c r="E27" s="5">
        <v>46303.582650462966</v>
      </c>
      <c r="F27" s="1" t="s">
        <v>71</v>
      </c>
      <c r="G27" t="s">
        <v>72</v>
      </c>
      <c r="H27">
        <v>8</v>
      </c>
      <c r="I27">
        <v>8</v>
      </c>
      <c r="J27" s="6">
        <v>2.2000000000000002</v>
      </c>
      <c r="K27">
        <v>5.25</v>
      </c>
      <c r="L27">
        <v>3000</v>
      </c>
      <c r="M27">
        <v>5.32</v>
      </c>
      <c r="N27" s="6">
        <f>(Active_Sched[[#This Row],[ACT_CAV]]/Active_Sched[[#This Row],[CYCLE_TIME]])*3600</f>
        <v>5485.7142857142853</v>
      </c>
      <c r="O27" s="6">
        <f>Active_Sched[[#This Row],[PCS_PER_HR]]/Active_Sched[[#This Row],[PCS_PER_CTN]]</f>
        <v>1.8285714285714285</v>
      </c>
      <c r="P27" t="str" cm="1">
        <f t="array" ref="P27">_xlfn.REGEXEXTRACT(Active_Sched[[#This Row],[CNTR_DESC]],"- (.*)", 2)</f>
        <v>MX09</v>
      </c>
      <c r="Q27" s="8">
        <f>Active_Sched[[#This Row],[ACT_CAV]]/Active_Sched[[#This Row],[STD_CAV]]</f>
        <v>1</v>
      </c>
    </row>
    <row r="28" spans="1:17" x14ac:dyDescent="0.3">
      <c r="A28">
        <v>3</v>
      </c>
      <c r="B28" t="s">
        <v>6</v>
      </c>
      <c r="C28" t="s">
        <v>22</v>
      </c>
      <c r="D28" s="5">
        <v>46302.457372685189</v>
      </c>
      <c r="E28" s="5">
        <v>46303.219074074077</v>
      </c>
      <c r="F28" s="1" t="s">
        <v>42</v>
      </c>
      <c r="G28" t="s">
        <v>43</v>
      </c>
      <c r="H28">
        <v>16</v>
      </c>
      <c r="I28">
        <v>16</v>
      </c>
      <c r="J28" s="6">
        <v>6.4</v>
      </c>
      <c r="K28">
        <v>5.7</v>
      </c>
      <c r="L28">
        <v>1500</v>
      </c>
      <c r="M28">
        <v>6.9</v>
      </c>
      <c r="N28" s="6">
        <f>(Active_Sched[[#This Row],[ACT_CAV]]/Active_Sched[[#This Row],[CYCLE_TIME]])*3600</f>
        <v>10105.263157894737</v>
      </c>
      <c r="O28" s="6">
        <f>Active_Sched[[#This Row],[PCS_PER_HR]]/Active_Sched[[#This Row],[PCS_PER_CTN]]</f>
        <v>6.7368421052631575</v>
      </c>
      <c r="P28" t="str" cm="1">
        <f t="array" ref="P28">_xlfn.REGEXEXTRACT(Active_Sched[[#This Row],[CNTR_DESC]],"- (.*)", 2)</f>
        <v>IML01</v>
      </c>
      <c r="Q28" s="8">
        <f>Active_Sched[[#This Row],[ACT_CAV]]/Active_Sched[[#This Row],[STD_CAV]]</f>
        <v>1</v>
      </c>
    </row>
    <row r="29" spans="1:17" x14ac:dyDescent="0.3">
      <c r="A29">
        <v>3</v>
      </c>
      <c r="B29" t="s">
        <v>5</v>
      </c>
      <c r="C29" t="s">
        <v>12</v>
      </c>
      <c r="D29" s="5">
        <v>46305.224768518521</v>
      </c>
      <c r="E29" s="5">
        <v>46307.780509259261</v>
      </c>
      <c r="F29" s="1" t="s">
        <v>73</v>
      </c>
      <c r="G29" t="s">
        <v>74</v>
      </c>
      <c r="H29">
        <v>16</v>
      </c>
      <c r="I29">
        <v>15</v>
      </c>
      <c r="J29" s="6">
        <v>5.19</v>
      </c>
      <c r="K29">
        <v>5.25</v>
      </c>
      <c r="L29">
        <v>800</v>
      </c>
      <c r="M29"/>
      <c r="N29" s="6">
        <f>(Active_Sched[[#This Row],[ACT_CAV]]/Active_Sched[[#This Row],[CYCLE_TIME]])*3600</f>
        <v>10285.714285714286</v>
      </c>
      <c r="O29" s="6">
        <f>Active_Sched[[#This Row],[PCS_PER_HR]]/Active_Sched[[#This Row],[PCS_PER_CTN]]</f>
        <v>12.857142857142858</v>
      </c>
      <c r="P29" t="str" cm="1">
        <f t="array" ref="P29">_xlfn.REGEXEXTRACT(Active_Sched[[#This Row],[CNTR_DESC]],"- (.*)", 2)</f>
        <v>MX01</v>
      </c>
      <c r="Q29" s="8">
        <f>Active_Sched[[#This Row],[ACT_CAV]]/Active_Sched[[#This Row],[STD_CAV]]</f>
        <v>0.9375</v>
      </c>
    </row>
    <row r="30" spans="1:17" x14ac:dyDescent="0.3">
      <c r="A30">
        <v>3</v>
      </c>
      <c r="B30" t="s">
        <v>5</v>
      </c>
      <c r="C30" t="s">
        <v>12</v>
      </c>
      <c r="D30" s="5">
        <v>46305.034259259257</v>
      </c>
      <c r="E30" s="5">
        <v>46305.224768518521</v>
      </c>
      <c r="F30" s="1" t="s">
        <v>73</v>
      </c>
      <c r="G30" t="s">
        <v>74</v>
      </c>
      <c r="H30">
        <v>16</v>
      </c>
      <c r="I30">
        <v>15</v>
      </c>
      <c r="J30" s="6">
        <v>5.19</v>
      </c>
      <c r="K30">
        <v>5.25</v>
      </c>
      <c r="L30">
        <v>800</v>
      </c>
      <c r="M30"/>
      <c r="N30" s="6">
        <f>(Active_Sched[[#This Row],[ACT_CAV]]/Active_Sched[[#This Row],[CYCLE_TIME]])*3600</f>
        <v>10285.714285714286</v>
      </c>
      <c r="O30" s="6">
        <f>Active_Sched[[#This Row],[PCS_PER_HR]]/Active_Sched[[#This Row],[PCS_PER_CTN]]</f>
        <v>12.857142857142858</v>
      </c>
      <c r="P30" t="str" cm="1">
        <f t="array" ref="P30">_xlfn.REGEXEXTRACT(Active_Sched[[#This Row],[CNTR_DESC]],"- (.*)", 2)</f>
        <v>MX01</v>
      </c>
      <c r="Q30" s="8">
        <f>Active_Sched[[#This Row],[ACT_CAV]]/Active_Sched[[#This Row],[STD_CAV]]</f>
        <v>0.9375</v>
      </c>
    </row>
    <row r="31" spans="1:17" x14ac:dyDescent="0.3">
      <c r="A31">
        <v>3</v>
      </c>
      <c r="B31" t="s">
        <v>5</v>
      </c>
      <c r="C31" t="s">
        <v>12</v>
      </c>
      <c r="D31" s="5">
        <v>46303.019895833335</v>
      </c>
      <c r="E31" s="5">
        <v>46303.84783564815</v>
      </c>
      <c r="F31" s="1" t="s">
        <v>73</v>
      </c>
      <c r="G31" t="s">
        <v>74</v>
      </c>
      <c r="H31">
        <v>16</v>
      </c>
      <c r="I31">
        <v>15</v>
      </c>
      <c r="J31" s="6">
        <v>5.19</v>
      </c>
      <c r="K31">
        <v>5.25</v>
      </c>
      <c r="L31">
        <v>800</v>
      </c>
      <c r="M31"/>
      <c r="N31" s="6">
        <f>(Active_Sched[[#This Row],[ACT_CAV]]/Active_Sched[[#This Row],[CYCLE_TIME]])*3600</f>
        <v>10285.714285714286</v>
      </c>
      <c r="O31" s="6">
        <f>Active_Sched[[#This Row],[PCS_PER_HR]]/Active_Sched[[#This Row],[PCS_PER_CTN]]</f>
        <v>12.857142857142858</v>
      </c>
      <c r="P31" t="str" cm="1">
        <f t="array" ref="P31">_xlfn.REGEXEXTRACT(Active_Sched[[#This Row],[CNTR_DESC]],"- (.*)", 2)</f>
        <v>MX01</v>
      </c>
      <c r="Q31" s="8">
        <f>Active_Sched[[#This Row],[ACT_CAV]]/Active_Sched[[#This Row],[STD_CAV]]</f>
        <v>0.9375</v>
      </c>
    </row>
    <row r="32" spans="1:17" x14ac:dyDescent="0.3">
      <c r="A32">
        <v>3</v>
      </c>
      <c r="B32" t="s">
        <v>5</v>
      </c>
      <c r="C32" t="s">
        <v>12</v>
      </c>
      <c r="D32" s="5">
        <v>46302.464155092595</v>
      </c>
      <c r="E32" s="5">
        <v>46303.019895833335</v>
      </c>
      <c r="F32" s="1" t="s">
        <v>73</v>
      </c>
      <c r="G32" t="s">
        <v>74</v>
      </c>
      <c r="H32">
        <v>16</v>
      </c>
      <c r="I32">
        <v>15</v>
      </c>
      <c r="J32" s="6">
        <v>5.19</v>
      </c>
      <c r="K32">
        <v>5.25</v>
      </c>
      <c r="L32">
        <v>800</v>
      </c>
      <c r="M32"/>
      <c r="N32" s="6">
        <f>(Active_Sched[[#This Row],[ACT_CAV]]/Active_Sched[[#This Row],[CYCLE_TIME]])*3600</f>
        <v>10285.714285714286</v>
      </c>
      <c r="O32" s="6">
        <f>Active_Sched[[#This Row],[PCS_PER_HR]]/Active_Sched[[#This Row],[PCS_PER_CTN]]</f>
        <v>12.857142857142858</v>
      </c>
      <c r="P32" t="str" cm="1">
        <f t="array" ref="P32">_xlfn.REGEXEXTRACT(Active_Sched[[#This Row],[CNTR_DESC]],"- (.*)", 2)</f>
        <v>MX01</v>
      </c>
      <c r="Q32" s="8">
        <f>Active_Sched[[#This Row],[ACT_CAV]]/Active_Sched[[#This Row],[STD_CAV]]</f>
        <v>0.9375</v>
      </c>
    </row>
    <row r="33" spans="1:17" x14ac:dyDescent="0.3">
      <c r="A33">
        <v>3</v>
      </c>
      <c r="B33" t="s">
        <v>5</v>
      </c>
      <c r="C33" t="s">
        <v>12</v>
      </c>
      <c r="D33" s="5">
        <v>46307.780509259261</v>
      </c>
      <c r="E33" s="5">
        <v>46308.499108796299</v>
      </c>
      <c r="F33" s="1" t="s">
        <v>105</v>
      </c>
      <c r="G33" t="s">
        <v>106</v>
      </c>
      <c r="H33">
        <v>16</v>
      </c>
      <c r="I33">
        <v>13</v>
      </c>
      <c r="J33" s="6">
        <v>4.63</v>
      </c>
      <c r="K33">
        <v>5.5</v>
      </c>
      <c r="L33">
        <v>950</v>
      </c>
      <c r="M33"/>
      <c r="N33" s="6">
        <f>(Active_Sched[[#This Row],[ACT_CAV]]/Active_Sched[[#This Row],[CYCLE_TIME]])*3600</f>
        <v>8509.0909090909099</v>
      </c>
      <c r="O33" s="6">
        <f>Active_Sched[[#This Row],[PCS_PER_HR]]/Active_Sched[[#This Row],[PCS_PER_CTN]]</f>
        <v>8.9569377990430628</v>
      </c>
      <c r="P33" t="str" cm="1">
        <f t="array" ref="P33">_xlfn.REGEXEXTRACT(Active_Sched[[#This Row],[CNTR_DESC]],"- (.*)", 2)</f>
        <v>MX01</v>
      </c>
      <c r="Q33" s="8">
        <f>Active_Sched[[#This Row],[ACT_CAV]]/Active_Sched[[#This Row],[STD_CAV]]</f>
        <v>0.8125</v>
      </c>
    </row>
    <row r="34" spans="1:17" x14ac:dyDescent="0.3">
      <c r="A34">
        <v>3</v>
      </c>
      <c r="B34" t="s">
        <v>5</v>
      </c>
      <c r="C34" t="s">
        <v>12</v>
      </c>
      <c r="D34" s="5">
        <v>46308.499108796299</v>
      </c>
      <c r="E34" s="5">
        <v>46308.772546296299</v>
      </c>
      <c r="F34" s="1" t="s">
        <v>105</v>
      </c>
      <c r="G34" t="s">
        <v>106</v>
      </c>
      <c r="H34">
        <v>16</v>
      </c>
      <c r="I34">
        <v>13</v>
      </c>
      <c r="J34" s="6">
        <v>4.63</v>
      </c>
      <c r="K34">
        <v>5.5</v>
      </c>
      <c r="L34">
        <v>950</v>
      </c>
      <c r="M34"/>
      <c r="N34" s="6">
        <f>(Active_Sched[[#This Row],[ACT_CAV]]/Active_Sched[[#This Row],[CYCLE_TIME]])*3600</f>
        <v>8509.0909090909099</v>
      </c>
      <c r="O34" s="6">
        <f>Active_Sched[[#This Row],[PCS_PER_HR]]/Active_Sched[[#This Row],[PCS_PER_CTN]]</f>
        <v>8.9569377990430628</v>
      </c>
      <c r="P34" t="str" cm="1">
        <f t="array" ref="P34">_xlfn.REGEXEXTRACT(Active_Sched[[#This Row],[CNTR_DESC]],"- (.*)", 2)</f>
        <v>MX01</v>
      </c>
      <c r="Q34" s="8">
        <f>Active_Sched[[#This Row],[ACT_CAV]]/Active_Sched[[#This Row],[STD_CAV]]</f>
        <v>0.8125</v>
      </c>
    </row>
    <row r="35" spans="1:17" x14ac:dyDescent="0.3">
      <c r="A35">
        <v>3</v>
      </c>
      <c r="B35" t="s">
        <v>5</v>
      </c>
      <c r="C35" t="s">
        <v>12</v>
      </c>
      <c r="D35" s="5">
        <v>46308.772546296299</v>
      </c>
      <c r="E35" s="5">
        <v>46309.260972222219</v>
      </c>
      <c r="F35" s="1" t="s">
        <v>107</v>
      </c>
      <c r="G35" t="s">
        <v>108</v>
      </c>
      <c r="H35">
        <v>16</v>
      </c>
      <c r="I35">
        <v>16</v>
      </c>
      <c r="J35" s="6">
        <v>4.68</v>
      </c>
      <c r="K35">
        <v>5.25</v>
      </c>
      <c r="L35">
        <v>1000</v>
      </c>
      <c r="M35"/>
      <c r="N35" s="6">
        <f>(Active_Sched[[#This Row],[ACT_CAV]]/Active_Sched[[#This Row],[CYCLE_TIME]])*3600</f>
        <v>10971.428571428571</v>
      </c>
      <c r="O35" s="6">
        <f>Active_Sched[[#This Row],[PCS_PER_HR]]/Active_Sched[[#This Row],[PCS_PER_CTN]]</f>
        <v>10.971428571428572</v>
      </c>
      <c r="P35" t="str" cm="1">
        <f t="array" ref="P35">_xlfn.REGEXEXTRACT(Active_Sched[[#This Row],[CNTR_DESC]],"- (.*)", 2)</f>
        <v>MX01</v>
      </c>
      <c r="Q35" s="8">
        <f>Active_Sched[[#This Row],[ACT_CAV]]/Active_Sched[[#This Row],[STD_CAV]]</f>
        <v>1</v>
      </c>
    </row>
    <row r="36" spans="1:17" x14ac:dyDescent="0.3">
      <c r="A36">
        <v>3</v>
      </c>
      <c r="B36" t="s">
        <v>6</v>
      </c>
      <c r="C36" t="s">
        <v>22</v>
      </c>
      <c r="D36" s="5">
        <v>46303.219074074077</v>
      </c>
      <c r="E36" s="5">
        <v>46304.004791666666</v>
      </c>
      <c r="F36" s="1" t="s">
        <v>125</v>
      </c>
      <c r="G36" t="s">
        <v>126</v>
      </c>
      <c r="H36">
        <v>16</v>
      </c>
      <c r="I36">
        <v>12</v>
      </c>
      <c r="J36" s="6">
        <v>6.4</v>
      </c>
      <c r="K36">
        <v>5.7</v>
      </c>
      <c r="L36">
        <v>1500</v>
      </c>
      <c r="M36"/>
      <c r="N36" s="6">
        <f>(Active_Sched[[#This Row],[ACT_CAV]]/Active_Sched[[#This Row],[CYCLE_TIME]])*3600</f>
        <v>7578.9473684210525</v>
      </c>
      <c r="O36" s="6">
        <f>Active_Sched[[#This Row],[PCS_PER_HR]]/Active_Sched[[#This Row],[PCS_PER_CTN]]</f>
        <v>5.0526315789473681</v>
      </c>
      <c r="P36" t="str" cm="1">
        <f t="array" ref="P36">_xlfn.REGEXEXTRACT(Active_Sched[[#This Row],[CNTR_DESC]],"- (.*)", 2)</f>
        <v>IML01</v>
      </c>
      <c r="Q36" s="8">
        <f>Active_Sched[[#This Row],[ACT_CAV]]/Active_Sched[[#This Row],[STD_CAV]]</f>
        <v>0.75</v>
      </c>
    </row>
    <row r="37" spans="1:17" x14ac:dyDescent="0.3">
      <c r="A37">
        <v>3</v>
      </c>
      <c r="B37" t="s">
        <v>5</v>
      </c>
      <c r="C37" t="s">
        <v>16</v>
      </c>
      <c r="D37" s="5">
        <v>46302.44</v>
      </c>
      <c r="E37" s="5">
        <v>46304.828356481485</v>
      </c>
      <c r="F37" s="1" t="s">
        <v>75</v>
      </c>
      <c r="G37" t="s">
        <v>76</v>
      </c>
      <c r="H37">
        <v>16</v>
      </c>
      <c r="I37">
        <v>15</v>
      </c>
      <c r="J37" s="6">
        <v>7.47</v>
      </c>
      <c r="K37">
        <v>8</v>
      </c>
      <c r="L37">
        <v>528</v>
      </c>
      <c r="M37">
        <v>11.54</v>
      </c>
      <c r="N37" s="6">
        <f>(Active_Sched[[#This Row],[ACT_CAV]]/Active_Sched[[#This Row],[CYCLE_TIME]])*3600</f>
        <v>6750</v>
      </c>
      <c r="O37" s="6">
        <f>Active_Sched[[#This Row],[PCS_PER_HR]]/Active_Sched[[#This Row],[PCS_PER_CTN]]</f>
        <v>12.784090909090908</v>
      </c>
      <c r="P37" t="str" cm="1">
        <f t="array" ref="P37">_xlfn.REGEXEXTRACT(Active_Sched[[#This Row],[CNTR_DESC]],"- (.*)", 2)</f>
        <v>MX10</v>
      </c>
      <c r="Q37" s="8">
        <f>Active_Sched[[#This Row],[ACT_CAV]]/Active_Sched[[#This Row],[STD_CAV]]</f>
        <v>0.9375</v>
      </c>
    </row>
    <row r="38" spans="1:17" x14ac:dyDescent="0.3">
      <c r="A38">
        <v>3</v>
      </c>
      <c r="B38" t="s">
        <v>5</v>
      </c>
      <c r="C38" t="s">
        <v>16</v>
      </c>
      <c r="D38" s="5">
        <v>46304.828356481485</v>
      </c>
      <c r="E38" s="5">
        <v>46309.652337962965</v>
      </c>
      <c r="F38" s="1" t="s">
        <v>48</v>
      </c>
      <c r="G38" t="s">
        <v>44</v>
      </c>
      <c r="H38">
        <v>16</v>
      </c>
      <c r="I38">
        <v>14</v>
      </c>
      <c r="J38" s="6">
        <v>3.13</v>
      </c>
      <c r="K38">
        <v>7.5</v>
      </c>
      <c r="L38">
        <v>1900</v>
      </c>
      <c r="M38"/>
      <c r="N38" s="6">
        <f>(Active_Sched[[#This Row],[ACT_CAV]]/Active_Sched[[#This Row],[CYCLE_TIME]])*3600</f>
        <v>6720</v>
      </c>
      <c r="O38" s="6">
        <f>Active_Sched[[#This Row],[PCS_PER_HR]]/Active_Sched[[#This Row],[PCS_PER_CTN]]</f>
        <v>3.5368421052631578</v>
      </c>
      <c r="P38" t="str" cm="1">
        <f t="array" ref="P38">_xlfn.REGEXEXTRACT(Active_Sched[[#This Row],[CNTR_DESC]],"- (.*)", 2)</f>
        <v>MX10</v>
      </c>
      <c r="Q38" s="8">
        <f>Active_Sched[[#This Row],[ACT_CAV]]/Active_Sched[[#This Row],[STD_CAV]]</f>
        <v>0.875</v>
      </c>
    </row>
    <row r="39" spans="1:17" x14ac:dyDescent="0.3">
      <c r="A39">
        <v>3</v>
      </c>
      <c r="B39" t="s">
        <v>5</v>
      </c>
      <c r="C39" t="s">
        <v>10</v>
      </c>
      <c r="D39" s="5">
        <v>46304.874907407408</v>
      </c>
      <c r="E39" s="5">
        <v>46308.754027777781</v>
      </c>
      <c r="F39" s="1" t="s">
        <v>77</v>
      </c>
      <c r="G39" t="s">
        <v>78</v>
      </c>
      <c r="H39">
        <v>16</v>
      </c>
      <c r="I39">
        <v>15</v>
      </c>
      <c r="J39" s="6">
        <v>2.5499999999999998</v>
      </c>
      <c r="K39">
        <v>5.25</v>
      </c>
      <c r="L39">
        <v>2700</v>
      </c>
      <c r="M39"/>
      <c r="N39" s="6">
        <f>(Active_Sched[[#This Row],[ACT_CAV]]/Active_Sched[[#This Row],[CYCLE_TIME]])*3600</f>
        <v>10285.714285714286</v>
      </c>
      <c r="O39" s="6">
        <f>Active_Sched[[#This Row],[PCS_PER_HR]]/Active_Sched[[#This Row],[PCS_PER_CTN]]</f>
        <v>3.8095238095238098</v>
      </c>
      <c r="P39" t="str" cm="1">
        <f t="array" ref="P39">_xlfn.REGEXEXTRACT(Active_Sched[[#This Row],[CNTR_DESC]],"- (.*)", 2)</f>
        <v>M04</v>
      </c>
      <c r="Q39" s="8">
        <f>Active_Sched[[#This Row],[ACT_CAV]]/Active_Sched[[#This Row],[STD_CAV]]</f>
        <v>0.9375</v>
      </c>
    </row>
    <row r="40" spans="1:17" x14ac:dyDescent="0.3">
      <c r="A40">
        <v>3</v>
      </c>
      <c r="B40" t="s">
        <v>5</v>
      </c>
      <c r="C40" t="s">
        <v>10</v>
      </c>
      <c r="D40" s="5">
        <v>46302.885798611111</v>
      </c>
      <c r="E40" s="5">
        <v>46303.468738425923</v>
      </c>
      <c r="F40" s="1" t="s">
        <v>79</v>
      </c>
      <c r="G40" t="s">
        <v>80</v>
      </c>
      <c r="H40">
        <v>16</v>
      </c>
      <c r="I40">
        <v>16</v>
      </c>
      <c r="J40" s="6">
        <v>3.18</v>
      </c>
      <c r="K40">
        <v>5.25</v>
      </c>
      <c r="L40">
        <v>2100</v>
      </c>
      <c r="M40"/>
      <c r="N40" s="6">
        <f>(Active_Sched[[#This Row],[ACT_CAV]]/Active_Sched[[#This Row],[CYCLE_TIME]])*3600</f>
        <v>10971.428571428571</v>
      </c>
      <c r="O40" s="6">
        <f>Active_Sched[[#This Row],[PCS_PER_HR]]/Active_Sched[[#This Row],[PCS_PER_CTN]]</f>
        <v>5.2244897959183669</v>
      </c>
      <c r="P40" t="str" cm="1">
        <f t="array" ref="P40">_xlfn.REGEXEXTRACT(Active_Sched[[#This Row],[CNTR_DESC]],"- (.*)", 2)</f>
        <v>M04</v>
      </c>
      <c r="Q40" s="8">
        <f>Active_Sched[[#This Row],[ACT_CAV]]/Active_Sched[[#This Row],[STD_CAV]]</f>
        <v>1</v>
      </c>
    </row>
    <row r="41" spans="1:17" x14ac:dyDescent="0.3">
      <c r="A41">
        <v>3</v>
      </c>
      <c r="B41" t="s">
        <v>5</v>
      </c>
      <c r="C41" t="s">
        <v>10</v>
      </c>
      <c r="D41" s="5">
        <v>46302.463969907411</v>
      </c>
      <c r="E41" s="5">
        <v>46302.885798611111</v>
      </c>
      <c r="F41" s="1" t="s">
        <v>79</v>
      </c>
      <c r="G41" t="s">
        <v>80</v>
      </c>
      <c r="H41">
        <v>16</v>
      </c>
      <c r="I41">
        <v>16</v>
      </c>
      <c r="J41" s="6">
        <v>3.18</v>
      </c>
      <c r="K41">
        <v>5.25</v>
      </c>
      <c r="L41">
        <v>2100</v>
      </c>
      <c r="M41">
        <v>7.11</v>
      </c>
      <c r="N41" s="6">
        <f>(Active_Sched[[#This Row],[ACT_CAV]]/Active_Sched[[#This Row],[CYCLE_TIME]])*3600</f>
        <v>10971.428571428571</v>
      </c>
      <c r="O41" s="6">
        <f>Active_Sched[[#This Row],[PCS_PER_HR]]/Active_Sched[[#This Row],[PCS_PER_CTN]]</f>
        <v>5.2244897959183669</v>
      </c>
      <c r="P41" t="str" cm="1">
        <f t="array" ref="P41">_xlfn.REGEXEXTRACT(Active_Sched[[#This Row],[CNTR_DESC]],"- (.*)", 2)</f>
        <v>M04</v>
      </c>
      <c r="Q41" s="8">
        <f>Active_Sched[[#This Row],[ACT_CAV]]/Active_Sched[[#This Row],[STD_CAV]]</f>
        <v>1</v>
      </c>
    </row>
    <row r="42" spans="1:17" x14ac:dyDescent="0.3">
      <c r="A42">
        <v>3</v>
      </c>
      <c r="B42" t="s">
        <v>5</v>
      </c>
      <c r="C42" t="s">
        <v>10</v>
      </c>
      <c r="D42" s="5">
        <v>46308.754027777781</v>
      </c>
      <c r="E42" s="5">
        <v>46309.322060185186</v>
      </c>
      <c r="F42" s="1" t="s">
        <v>109</v>
      </c>
      <c r="G42" t="s">
        <v>110</v>
      </c>
      <c r="H42">
        <v>16</v>
      </c>
      <c r="I42">
        <v>15</v>
      </c>
      <c r="J42" s="6">
        <v>3.9</v>
      </c>
      <c r="K42">
        <v>6</v>
      </c>
      <c r="L42">
        <v>1500</v>
      </c>
      <c r="M42"/>
      <c r="N42" s="6">
        <f>(Active_Sched[[#This Row],[ACT_CAV]]/Active_Sched[[#This Row],[CYCLE_TIME]])*3600</f>
        <v>9000</v>
      </c>
      <c r="O42" s="6">
        <f>Active_Sched[[#This Row],[PCS_PER_HR]]/Active_Sched[[#This Row],[PCS_PER_CTN]]</f>
        <v>6</v>
      </c>
      <c r="P42" t="str" cm="1">
        <f t="array" ref="P42">_xlfn.REGEXEXTRACT(Active_Sched[[#This Row],[CNTR_DESC]],"- (.*)", 2)</f>
        <v>M04</v>
      </c>
      <c r="Q42" s="8">
        <f>Active_Sched[[#This Row],[ACT_CAV]]/Active_Sched[[#This Row],[STD_CAV]]</f>
        <v>0.9375</v>
      </c>
    </row>
    <row r="43" spans="1:17" x14ac:dyDescent="0.3">
      <c r="A43">
        <v>3</v>
      </c>
      <c r="B43" t="s">
        <v>5</v>
      </c>
      <c r="C43" t="s">
        <v>10</v>
      </c>
      <c r="D43" s="5">
        <v>46304.647488425922</v>
      </c>
      <c r="E43" s="5">
        <v>46304.874907407408</v>
      </c>
      <c r="F43" s="1" t="s">
        <v>81</v>
      </c>
      <c r="G43" t="s">
        <v>82</v>
      </c>
      <c r="H43">
        <v>16</v>
      </c>
      <c r="I43">
        <v>16</v>
      </c>
      <c r="J43" s="6">
        <v>3.5</v>
      </c>
      <c r="K43">
        <v>5.75</v>
      </c>
      <c r="L43">
        <v>2100</v>
      </c>
      <c r="M43"/>
      <c r="N43" s="6">
        <f>(Active_Sched[[#This Row],[ACT_CAV]]/Active_Sched[[#This Row],[CYCLE_TIME]])*3600</f>
        <v>10017.391304347826</v>
      </c>
      <c r="O43" s="6">
        <f>Active_Sched[[#This Row],[PCS_PER_HR]]/Active_Sched[[#This Row],[PCS_PER_CTN]]</f>
        <v>4.7701863354037268</v>
      </c>
      <c r="P43" t="str" cm="1">
        <f t="array" ref="P43">_xlfn.REGEXEXTRACT(Active_Sched[[#This Row],[CNTR_DESC]],"- (.*)", 2)</f>
        <v>M04</v>
      </c>
      <c r="Q43" s="8">
        <f>Active_Sched[[#This Row],[ACT_CAV]]/Active_Sched[[#This Row],[STD_CAV]]</f>
        <v>1</v>
      </c>
    </row>
    <row r="44" spans="1:17" x14ac:dyDescent="0.3">
      <c r="A44">
        <v>3</v>
      </c>
      <c r="B44" t="s">
        <v>5</v>
      </c>
      <c r="C44" t="s">
        <v>11</v>
      </c>
      <c r="D44" s="5">
        <v>46305.152754629627</v>
      </c>
      <c r="E44" s="5">
        <v>46316.152638888889</v>
      </c>
      <c r="F44" s="1" t="s">
        <v>111</v>
      </c>
      <c r="G44" t="s">
        <v>112</v>
      </c>
      <c r="H44">
        <v>16</v>
      </c>
      <c r="I44">
        <v>13</v>
      </c>
      <c r="J44" s="6">
        <v>4</v>
      </c>
      <c r="K44">
        <v>8</v>
      </c>
      <c r="L44">
        <v>1700</v>
      </c>
      <c r="M44"/>
      <c r="N44" s="6">
        <f>(Active_Sched[[#This Row],[ACT_CAV]]/Active_Sched[[#This Row],[CYCLE_TIME]])*3600</f>
        <v>5850</v>
      </c>
      <c r="O44" s="6">
        <f>Active_Sched[[#This Row],[PCS_PER_HR]]/Active_Sched[[#This Row],[PCS_PER_CTN]]</f>
        <v>3.4411764705882355</v>
      </c>
      <c r="P44" t="str" cm="1">
        <f t="array" ref="P44">_xlfn.REGEXEXTRACT(Active_Sched[[#This Row],[CNTR_DESC]],"- (.*)", 2)</f>
        <v>M02</v>
      </c>
      <c r="Q44" s="8">
        <f>Active_Sched[[#This Row],[ACT_CAV]]/Active_Sched[[#This Row],[STD_CAV]]</f>
        <v>0.8125</v>
      </c>
    </row>
    <row r="45" spans="1:17" x14ac:dyDescent="0.3">
      <c r="A45">
        <v>3</v>
      </c>
      <c r="B45" t="s">
        <v>5</v>
      </c>
      <c r="C45" t="s">
        <v>11</v>
      </c>
      <c r="D45" s="5">
        <v>46303.469872685186</v>
      </c>
      <c r="E45" s="5">
        <v>46305.152754629627</v>
      </c>
      <c r="F45" s="1" t="s">
        <v>111</v>
      </c>
      <c r="G45" t="s">
        <v>112</v>
      </c>
      <c r="H45">
        <v>16</v>
      </c>
      <c r="I45">
        <v>13</v>
      </c>
      <c r="J45" s="6">
        <v>4</v>
      </c>
      <c r="K45">
        <v>8</v>
      </c>
      <c r="L45">
        <v>1700</v>
      </c>
      <c r="M45"/>
      <c r="N45" s="6">
        <f>(Active_Sched[[#This Row],[ACT_CAV]]/Active_Sched[[#This Row],[CYCLE_TIME]])*3600</f>
        <v>5850</v>
      </c>
      <c r="O45" s="6">
        <f>Active_Sched[[#This Row],[PCS_PER_HR]]/Active_Sched[[#This Row],[PCS_PER_CTN]]</f>
        <v>3.4411764705882355</v>
      </c>
      <c r="P45" t="str" cm="1">
        <f t="array" ref="P45">_xlfn.REGEXEXTRACT(Active_Sched[[#This Row],[CNTR_DESC]],"- (.*)", 2)</f>
        <v>M02</v>
      </c>
      <c r="Q45" s="8">
        <f>Active_Sched[[#This Row],[ACT_CAV]]/Active_Sched[[#This Row],[STD_CAV]]</f>
        <v>0.8125</v>
      </c>
    </row>
    <row r="46" spans="1:17" x14ac:dyDescent="0.3">
      <c r="A46">
        <v>3</v>
      </c>
      <c r="B46" t="s">
        <v>6</v>
      </c>
      <c r="C46" t="s">
        <v>18</v>
      </c>
      <c r="D46" s="5">
        <v>46304.119363425925</v>
      </c>
      <c r="E46" s="5">
        <v>46304.844780092593</v>
      </c>
      <c r="F46" s="1" t="s">
        <v>83</v>
      </c>
      <c r="G46" t="s">
        <v>84</v>
      </c>
      <c r="H46">
        <v>8</v>
      </c>
      <c r="I46">
        <v>8</v>
      </c>
      <c r="J46" s="6">
        <v>9.08</v>
      </c>
      <c r="K46">
        <v>4.4000000000000004</v>
      </c>
      <c r="L46">
        <v>1400</v>
      </c>
      <c r="M46"/>
      <c r="N46" s="6">
        <f>(Active_Sched[[#This Row],[ACT_CAV]]/Active_Sched[[#This Row],[CYCLE_TIME]])*3600</f>
        <v>6545.454545454545</v>
      </c>
      <c r="O46" s="6">
        <f>Active_Sched[[#This Row],[PCS_PER_HR]]/Active_Sched[[#This Row],[PCS_PER_CTN]]</f>
        <v>4.6753246753246751</v>
      </c>
      <c r="P46" t="str" cm="1">
        <f t="array" ref="P46">_xlfn.REGEXEXTRACT(Active_Sched[[#This Row],[CNTR_DESC]],"- (.*)", 2)</f>
        <v>IML04</v>
      </c>
      <c r="Q46" s="8">
        <f>Active_Sched[[#This Row],[ACT_CAV]]/Active_Sched[[#This Row],[STD_CAV]]</f>
        <v>1</v>
      </c>
    </row>
    <row r="47" spans="1:17" x14ac:dyDescent="0.3">
      <c r="A47">
        <v>3</v>
      </c>
      <c r="B47" t="s">
        <v>6</v>
      </c>
      <c r="C47" t="s">
        <v>18</v>
      </c>
      <c r="D47" s="5">
        <v>46308.604166666664</v>
      </c>
      <c r="E47" s="5">
        <v>46321.355219907404</v>
      </c>
      <c r="F47" s="1" t="s">
        <v>113</v>
      </c>
      <c r="G47" t="s">
        <v>114</v>
      </c>
      <c r="H47">
        <v>8</v>
      </c>
      <c r="I47">
        <v>8</v>
      </c>
      <c r="J47" s="6">
        <v>9.08</v>
      </c>
      <c r="K47">
        <v>4.4000000000000004</v>
      </c>
      <c r="L47">
        <v>1400</v>
      </c>
      <c r="M47"/>
      <c r="N47" s="6">
        <f>(Active_Sched[[#This Row],[ACT_CAV]]/Active_Sched[[#This Row],[CYCLE_TIME]])*3600</f>
        <v>6545.454545454545</v>
      </c>
      <c r="O47" s="6">
        <f>Active_Sched[[#This Row],[PCS_PER_HR]]/Active_Sched[[#This Row],[PCS_PER_CTN]]</f>
        <v>4.6753246753246751</v>
      </c>
      <c r="P47" t="str" cm="1">
        <f t="array" ref="P47">_xlfn.REGEXEXTRACT(Active_Sched[[#This Row],[CNTR_DESC]],"- (.*)", 2)</f>
        <v>IML04</v>
      </c>
      <c r="Q47" s="8">
        <f>Active_Sched[[#This Row],[ACT_CAV]]/Active_Sched[[#This Row],[STD_CAV]]</f>
        <v>1</v>
      </c>
    </row>
    <row r="48" spans="1:17" x14ac:dyDescent="0.3">
      <c r="A48">
        <v>3</v>
      </c>
      <c r="B48" t="s">
        <v>5</v>
      </c>
      <c r="C48" t="s">
        <v>11</v>
      </c>
      <c r="D48" s="5">
        <v>46303.079375000001</v>
      </c>
      <c r="E48" s="5">
        <v>46303.469872685186</v>
      </c>
      <c r="F48" s="1" t="s">
        <v>115</v>
      </c>
      <c r="G48" t="s">
        <v>116</v>
      </c>
      <c r="H48">
        <v>16</v>
      </c>
      <c r="I48">
        <v>16</v>
      </c>
      <c r="J48" s="6">
        <v>4</v>
      </c>
      <c r="K48">
        <v>7</v>
      </c>
      <c r="L48">
        <v>1700</v>
      </c>
      <c r="M48"/>
      <c r="N48" s="6">
        <f>(Active_Sched[[#This Row],[ACT_CAV]]/Active_Sched[[#This Row],[CYCLE_TIME]])*3600</f>
        <v>8228.5714285714275</v>
      </c>
      <c r="O48" s="6">
        <f>Active_Sched[[#This Row],[PCS_PER_HR]]/Active_Sched[[#This Row],[PCS_PER_CTN]]</f>
        <v>4.8403361344537812</v>
      </c>
      <c r="P48" t="str" cm="1">
        <f t="array" ref="P48">_xlfn.REGEXEXTRACT(Active_Sched[[#This Row],[CNTR_DESC]],"- (.*)", 2)</f>
        <v>M02</v>
      </c>
      <c r="Q48" s="8">
        <f>Active_Sched[[#This Row],[ACT_CAV]]/Active_Sched[[#This Row],[STD_CAV]]</f>
        <v>1</v>
      </c>
    </row>
    <row r="49" spans="1:17" x14ac:dyDescent="0.3">
      <c r="A49">
        <v>3</v>
      </c>
      <c r="B49" t="s">
        <v>6</v>
      </c>
      <c r="C49" t="s">
        <v>22</v>
      </c>
      <c r="D49" s="5">
        <v>46307.316076388888</v>
      </c>
      <c r="E49" s="5">
        <v>46308.58152777778</v>
      </c>
      <c r="F49" s="1" t="s">
        <v>117</v>
      </c>
      <c r="G49" t="s">
        <v>118</v>
      </c>
      <c r="H49">
        <v>16</v>
      </c>
      <c r="I49">
        <v>14</v>
      </c>
      <c r="J49" s="6">
        <v>6.4</v>
      </c>
      <c r="K49">
        <v>5.7</v>
      </c>
      <c r="L49">
        <v>1500</v>
      </c>
      <c r="M49"/>
      <c r="N49" s="6">
        <f>(Active_Sched[[#This Row],[ACT_CAV]]/Active_Sched[[#This Row],[CYCLE_TIME]])*3600</f>
        <v>8842.105263157895</v>
      </c>
      <c r="O49" s="6">
        <f>Active_Sched[[#This Row],[PCS_PER_HR]]/Active_Sched[[#This Row],[PCS_PER_CTN]]</f>
        <v>5.8947368421052637</v>
      </c>
      <c r="P49" t="str" cm="1">
        <f t="array" ref="P49">_xlfn.REGEXEXTRACT(Active_Sched[[#This Row],[CNTR_DESC]],"- (.*)", 2)</f>
        <v>IML01</v>
      </c>
      <c r="Q49" s="8">
        <f>Active_Sched[[#This Row],[ACT_CAV]]/Active_Sched[[#This Row],[STD_CAV]]</f>
        <v>0.875</v>
      </c>
    </row>
    <row r="50" spans="1:17" x14ac:dyDescent="0.3">
      <c r="A50">
        <v>3</v>
      </c>
      <c r="B50" t="s">
        <v>6</v>
      </c>
      <c r="C50" t="s">
        <v>22</v>
      </c>
      <c r="D50" s="5">
        <v>46304.008958333332</v>
      </c>
      <c r="E50" s="5">
        <v>46307.316076388888</v>
      </c>
      <c r="F50" s="1" t="s">
        <v>117</v>
      </c>
      <c r="G50" t="s">
        <v>118</v>
      </c>
      <c r="H50">
        <v>16</v>
      </c>
      <c r="I50">
        <v>14</v>
      </c>
      <c r="J50" s="6">
        <v>6.4</v>
      </c>
      <c r="K50">
        <v>5.7</v>
      </c>
      <c r="L50">
        <v>1500</v>
      </c>
      <c r="M50"/>
      <c r="N50" s="6">
        <f>(Active_Sched[[#This Row],[ACT_CAV]]/Active_Sched[[#This Row],[CYCLE_TIME]])*3600</f>
        <v>8842.105263157895</v>
      </c>
      <c r="O50" s="6">
        <f>Active_Sched[[#This Row],[PCS_PER_HR]]/Active_Sched[[#This Row],[PCS_PER_CTN]]</f>
        <v>5.8947368421052637</v>
      </c>
      <c r="P50" t="str" cm="1">
        <f t="array" ref="P50">_xlfn.REGEXEXTRACT(Active_Sched[[#This Row],[CNTR_DESC]],"- (.*)", 2)</f>
        <v>IML01</v>
      </c>
      <c r="Q50" s="8">
        <f>Active_Sched[[#This Row],[ACT_CAV]]/Active_Sched[[#This Row],[STD_CAV]]</f>
        <v>0.875</v>
      </c>
    </row>
    <row r="51" spans="1:17" x14ac:dyDescent="0.3">
      <c r="A51">
        <v>3</v>
      </c>
      <c r="B51" t="s">
        <v>5</v>
      </c>
      <c r="C51" t="s">
        <v>10</v>
      </c>
      <c r="D51" s="5">
        <v>46303.468738425923</v>
      </c>
      <c r="E51" s="5">
        <v>46303.779490740744</v>
      </c>
      <c r="F51" s="1" t="s">
        <v>85</v>
      </c>
      <c r="G51" t="s">
        <v>86</v>
      </c>
      <c r="H51">
        <v>16</v>
      </c>
      <c r="I51">
        <v>16</v>
      </c>
      <c r="J51" s="6">
        <v>3.5</v>
      </c>
      <c r="K51">
        <v>5.75</v>
      </c>
      <c r="L51">
        <v>2100</v>
      </c>
      <c r="M51"/>
      <c r="N51" s="6">
        <f>(Active_Sched[[#This Row],[ACT_CAV]]/Active_Sched[[#This Row],[CYCLE_TIME]])*3600</f>
        <v>10017.391304347826</v>
      </c>
      <c r="O51" s="6">
        <f>Active_Sched[[#This Row],[PCS_PER_HR]]/Active_Sched[[#This Row],[PCS_PER_CTN]]</f>
        <v>4.7701863354037268</v>
      </c>
      <c r="P51" t="str" cm="1">
        <f t="array" ref="P51">_xlfn.REGEXEXTRACT(Active_Sched[[#This Row],[CNTR_DESC]],"- (.*)", 2)</f>
        <v>M04</v>
      </c>
      <c r="Q51" s="8">
        <f>Active_Sched[[#This Row],[ACT_CAV]]/Active_Sched[[#This Row],[STD_CAV]]</f>
        <v>1</v>
      </c>
    </row>
    <row r="52" spans="1:17" x14ac:dyDescent="0.3">
      <c r="A52">
        <v>3</v>
      </c>
      <c r="B52" t="s">
        <v>6</v>
      </c>
      <c r="C52" t="s">
        <v>18</v>
      </c>
      <c r="D52" s="5">
        <v>46302.44</v>
      </c>
      <c r="E52" s="5">
        <v>46304.11519675926</v>
      </c>
      <c r="F52" s="1" t="s">
        <v>87</v>
      </c>
      <c r="G52" t="s">
        <v>88</v>
      </c>
      <c r="H52">
        <v>8</v>
      </c>
      <c r="I52">
        <v>8</v>
      </c>
      <c r="J52" s="6">
        <v>9.08</v>
      </c>
      <c r="K52">
        <v>4.4000000000000004</v>
      </c>
      <c r="L52">
        <v>1400</v>
      </c>
      <c r="M52"/>
      <c r="N52" s="6">
        <f>(Active_Sched[[#This Row],[ACT_CAV]]/Active_Sched[[#This Row],[CYCLE_TIME]])*3600</f>
        <v>6545.454545454545</v>
      </c>
      <c r="O52" s="6">
        <f>Active_Sched[[#This Row],[PCS_PER_HR]]/Active_Sched[[#This Row],[PCS_PER_CTN]]</f>
        <v>4.6753246753246751</v>
      </c>
      <c r="P52" t="str" cm="1">
        <f t="array" ref="P52">_xlfn.REGEXEXTRACT(Active_Sched[[#This Row],[CNTR_DESC]],"- (.*)", 2)</f>
        <v>IML04</v>
      </c>
      <c r="Q52" s="8">
        <f>Active_Sched[[#This Row],[ACT_CAV]]/Active_Sched[[#This Row],[STD_CAV]]</f>
        <v>1</v>
      </c>
    </row>
    <row r="53" spans="1:17" x14ac:dyDescent="0.3">
      <c r="A53">
        <v>3</v>
      </c>
      <c r="B53" t="s">
        <v>6</v>
      </c>
      <c r="C53" t="s">
        <v>23</v>
      </c>
      <c r="D53" s="5">
        <v>46308.379965277774</v>
      </c>
      <c r="E53" s="5">
        <v>46321.641689814816</v>
      </c>
      <c r="F53" s="1" t="s">
        <v>24</v>
      </c>
      <c r="G53" t="s">
        <v>30</v>
      </c>
      <c r="H53">
        <v>8</v>
      </c>
      <c r="I53">
        <v>8</v>
      </c>
      <c r="J53" s="6">
        <v>8.16</v>
      </c>
      <c r="K53">
        <v>5.5</v>
      </c>
      <c r="L53">
        <v>1450</v>
      </c>
      <c r="M53"/>
      <c r="N53" s="6">
        <f>(Active_Sched[[#This Row],[ACT_CAV]]/Active_Sched[[#This Row],[CYCLE_TIME]])*3600</f>
        <v>5236.3636363636369</v>
      </c>
      <c r="O53" s="6">
        <f>Active_Sched[[#This Row],[PCS_PER_HR]]/Active_Sched[[#This Row],[PCS_PER_CTN]]</f>
        <v>3.6112852664576804</v>
      </c>
      <c r="P53" t="str" cm="1">
        <f t="array" ref="P53">_xlfn.REGEXEXTRACT(Active_Sched[[#This Row],[CNTR_DESC]],"- (.*)", 2)</f>
        <v>IML06</v>
      </c>
      <c r="Q53" s="8">
        <f>Active_Sched[[#This Row],[ACT_CAV]]/Active_Sched[[#This Row],[STD_CAV]]</f>
        <v>1</v>
      </c>
    </row>
    <row r="54" spans="1:17" x14ac:dyDescent="0.3">
      <c r="A54">
        <v>3</v>
      </c>
      <c r="B54" t="s">
        <v>6</v>
      </c>
      <c r="C54" t="s">
        <v>23</v>
      </c>
      <c r="D54" s="5">
        <v>46304.584432870368</v>
      </c>
      <c r="E54" s="5">
        <v>46308.379965277774</v>
      </c>
      <c r="F54" s="1" t="s">
        <v>119</v>
      </c>
      <c r="G54" t="s">
        <v>120</v>
      </c>
      <c r="H54">
        <v>8</v>
      </c>
      <c r="I54">
        <v>8</v>
      </c>
      <c r="J54" s="6">
        <v>8.16</v>
      </c>
      <c r="K54">
        <v>4.3</v>
      </c>
      <c r="L54">
        <v>1450</v>
      </c>
      <c r="M54"/>
      <c r="N54" s="6">
        <f>(Active_Sched[[#This Row],[ACT_CAV]]/Active_Sched[[#This Row],[CYCLE_TIME]])*3600</f>
        <v>6697.6744186046508</v>
      </c>
      <c r="O54" s="6">
        <f>Active_Sched[[#This Row],[PCS_PER_HR]]/Active_Sched[[#This Row],[PCS_PER_CTN]]</f>
        <v>4.6190858059342421</v>
      </c>
      <c r="P54" t="str" cm="1">
        <f t="array" ref="P54">_xlfn.REGEXEXTRACT(Active_Sched[[#This Row],[CNTR_DESC]],"- (.*)", 2)</f>
        <v>IML06</v>
      </c>
      <c r="Q54" s="8">
        <f>Active_Sched[[#This Row],[ACT_CAV]]/Active_Sched[[#This Row],[STD_CAV]]</f>
        <v>1</v>
      </c>
    </row>
    <row r="55" spans="1:17" x14ac:dyDescent="0.3">
      <c r="A55">
        <v>3</v>
      </c>
      <c r="B55" t="s">
        <v>6</v>
      </c>
      <c r="C55" t="s">
        <v>22</v>
      </c>
      <c r="D55" s="5">
        <v>46308.58152777778</v>
      </c>
      <c r="E55" s="5">
        <v>46309.804247685184</v>
      </c>
      <c r="F55" s="1" t="s">
        <v>129</v>
      </c>
      <c r="G55" t="s">
        <v>130</v>
      </c>
      <c r="H55">
        <v>16</v>
      </c>
      <c r="I55">
        <v>12</v>
      </c>
      <c r="J55" s="6">
        <v>6.4</v>
      </c>
      <c r="K55">
        <v>5.7</v>
      </c>
      <c r="L55">
        <v>1500</v>
      </c>
      <c r="M55"/>
      <c r="N55" s="6">
        <f>(Active_Sched[[#This Row],[ACT_CAV]]/Active_Sched[[#This Row],[CYCLE_TIME]])*3600</f>
        <v>7578.9473684210525</v>
      </c>
      <c r="O55" s="6">
        <f>Active_Sched[[#This Row],[PCS_PER_HR]]/Active_Sched[[#This Row],[PCS_PER_CTN]]</f>
        <v>5.0526315789473681</v>
      </c>
      <c r="P55" t="str" cm="1">
        <f t="array" ref="P55">_xlfn.REGEXEXTRACT(Active_Sched[[#This Row],[CNTR_DESC]],"- (.*)", 2)</f>
        <v>IML01</v>
      </c>
      <c r="Q55" s="8">
        <f>Active_Sched[[#This Row],[ACT_CAV]]/Active_Sched[[#This Row],[STD_CAV]]</f>
        <v>0.75</v>
      </c>
    </row>
    <row r="56" spans="1:17" x14ac:dyDescent="0.3">
      <c r="A56">
        <v>3</v>
      </c>
      <c r="B56" t="s">
        <v>5</v>
      </c>
      <c r="C56" t="s">
        <v>10</v>
      </c>
      <c r="D56" s="5">
        <v>46303.779490740744</v>
      </c>
      <c r="E56" s="5">
        <v>46304.647488425922</v>
      </c>
      <c r="F56" s="1" t="s">
        <v>89</v>
      </c>
      <c r="G56" t="s">
        <v>90</v>
      </c>
      <c r="H56">
        <v>16</v>
      </c>
      <c r="I56">
        <v>16</v>
      </c>
      <c r="J56" s="6">
        <v>3.5</v>
      </c>
      <c r="K56">
        <v>5.75</v>
      </c>
      <c r="L56">
        <v>2100</v>
      </c>
      <c r="M56"/>
      <c r="N56" s="6">
        <f>(Active_Sched[[#This Row],[ACT_CAV]]/Active_Sched[[#This Row],[CYCLE_TIME]])*3600</f>
        <v>10017.391304347826</v>
      </c>
      <c r="O56" s="6">
        <f>Active_Sched[[#This Row],[PCS_PER_HR]]/Active_Sched[[#This Row],[PCS_PER_CTN]]</f>
        <v>4.7701863354037268</v>
      </c>
      <c r="P56" t="str" cm="1">
        <f t="array" ref="P56">_xlfn.REGEXEXTRACT(Active_Sched[[#This Row],[CNTR_DESC]],"- (.*)", 2)</f>
        <v>M04</v>
      </c>
      <c r="Q56" s="8">
        <f>Active_Sched[[#This Row],[ACT_CAV]]/Active_Sched[[#This Row],[STD_CAV]]</f>
        <v>1</v>
      </c>
    </row>
    <row r="57" spans="1:17" x14ac:dyDescent="0.3">
      <c r="A57">
        <v>3</v>
      </c>
      <c r="B57" t="s">
        <v>6</v>
      </c>
      <c r="C57" t="s">
        <v>18</v>
      </c>
      <c r="D57" s="5">
        <v>46304.848946759259</v>
      </c>
      <c r="E57" s="5">
        <v>46308.6</v>
      </c>
      <c r="F57" s="1" t="s">
        <v>91</v>
      </c>
      <c r="G57" t="s">
        <v>92</v>
      </c>
      <c r="H57">
        <v>8</v>
      </c>
      <c r="I57">
        <v>8</v>
      </c>
      <c r="J57" s="6">
        <v>9.08</v>
      </c>
      <c r="K57">
        <v>4.4000000000000004</v>
      </c>
      <c r="L57">
        <v>1400</v>
      </c>
      <c r="M57"/>
      <c r="N57" s="6">
        <f>(Active_Sched[[#This Row],[ACT_CAV]]/Active_Sched[[#This Row],[CYCLE_TIME]])*3600</f>
        <v>6545.454545454545</v>
      </c>
      <c r="O57" s="6">
        <f>Active_Sched[[#This Row],[PCS_PER_HR]]/Active_Sched[[#This Row],[PCS_PER_CTN]]</f>
        <v>4.6753246753246751</v>
      </c>
      <c r="P57" t="str" cm="1">
        <f t="array" ref="P57">_xlfn.REGEXEXTRACT(Active_Sched[[#This Row],[CNTR_DESC]],"- (.*)", 2)</f>
        <v>IML04</v>
      </c>
      <c r="Q57" s="8">
        <f>Active_Sched[[#This Row],[ACT_CAV]]/Active_Sched[[#This Row],[STD_CAV]]</f>
        <v>1</v>
      </c>
    </row>
    <row r="58" spans="1:17" x14ac:dyDescent="0.3">
      <c r="A58">
        <v>3</v>
      </c>
      <c r="B58" t="s">
        <v>6</v>
      </c>
      <c r="C58" t="s">
        <v>19</v>
      </c>
      <c r="D58" s="5">
        <v>46302.44</v>
      </c>
      <c r="E58" s="5">
        <v>46308.708761574075</v>
      </c>
      <c r="F58" s="1" t="s">
        <v>20</v>
      </c>
      <c r="G58" t="s">
        <v>29</v>
      </c>
      <c r="H58">
        <v>8</v>
      </c>
      <c r="I58">
        <v>4</v>
      </c>
      <c r="J58" s="6">
        <v>31.3</v>
      </c>
      <c r="K58">
        <v>7</v>
      </c>
      <c r="L58">
        <v>480</v>
      </c>
      <c r="M58"/>
      <c r="N58" s="6">
        <f>(Active_Sched[[#This Row],[ACT_CAV]]/Active_Sched[[#This Row],[CYCLE_TIME]])*3600</f>
        <v>2057.1428571428569</v>
      </c>
      <c r="O58" s="6">
        <f>Active_Sched[[#This Row],[PCS_PER_HR]]/Active_Sched[[#This Row],[PCS_PER_CTN]]</f>
        <v>4.2857142857142856</v>
      </c>
      <c r="P58" t="str" cm="1">
        <f t="array" ref="P58">_xlfn.REGEXEXTRACT(Active_Sched[[#This Row],[CNTR_DESC]],"- (.*)", 2)</f>
        <v>IML05</v>
      </c>
      <c r="Q58" s="8">
        <f>Active_Sched[[#This Row],[ACT_CAV]]/Active_Sched[[#This Row],[STD_CAV]]</f>
        <v>0.5</v>
      </c>
    </row>
    <row r="59" spans="1:17" x14ac:dyDescent="0.3">
      <c r="A59">
        <v>3</v>
      </c>
      <c r="B59" t="s">
        <v>6</v>
      </c>
      <c r="C59" t="s">
        <v>19</v>
      </c>
      <c r="D59" s="5">
        <v>46308.708761574075</v>
      </c>
      <c r="E59" s="5">
        <v>46322.553229166668</v>
      </c>
      <c r="F59" s="1" t="s">
        <v>121</v>
      </c>
      <c r="G59" t="s">
        <v>122</v>
      </c>
      <c r="H59">
        <v>8</v>
      </c>
      <c r="I59">
        <v>8</v>
      </c>
      <c r="J59" s="6">
        <v>31.3</v>
      </c>
      <c r="K59">
        <v>7</v>
      </c>
      <c r="L59">
        <v>480</v>
      </c>
      <c r="M59"/>
      <c r="N59" s="6">
        <f>(Active_Sched[[#This Row],[ACT_CAV]]/Active_Sched[[#This Row],[CYCLE_TIME]])*3600</f>
        <v>4114.2857142857138</v>
      </c>
      <c r="O59" s="6">
        <f>Active_Sched[[#This Row],[PCS_PER_HR]]/Active_Sched[[#This Row],[PCS_PER_CTN]]</f>
        <v>8.5714285714285712</v>
      </c>
      <c r="P59" t="str" cm="1">
        <f t="array" ref="P59">_xlfn.REGEXEXTRACT(Active_Sched[[#This Row],[CNTR_DESC]],"- (.*)", 2)</f>
        <v>IML05</v>
      </c>
      <c r="Q59" s="8">
        <f>Active_Sched[[#This Row],[ACT_CAV]]/Active_Sched[[#This Row],[STD_CAV]]</f>
        <v>1</v>
      </c>
    </row>
    <row r="60" spans="1:17" x14ac:dyDescent="0.3">
      <c r="A60">
        <v>3</v>
      </c>
      <c r="B60" t="s">
        <v>6</v>
      </c>
      <c r="C60" t="s">
        <v>17</v>
      </c>
      <c r="D60" s="5">
        <v>46302.443935185183</v>
      </c>
      <c r="E60" s="5">
        <v>46307.360625000001</v>
      </c>
      <c r="F60" s="1" t="s">
        <v>123</v>
      </c>
      <c r="G60" t="s">
        <v>124</v>
      </c>
      <c r="H60">
        <v>8</v>
      </c>
      <c r="I60">
        <v>6</v>
      </c>
      <c r="J60" s="6">
        <v>23.9</v>
      </c>
      <c r="K60">
        <v>6.75</v>
      </c>
      <c r="L60">
        <v>640</v>
      </c>
      <c r="M60">
        <v>7.38</v>
      </c>
      <c r="N60" s="6">
        <f>(Active_Sched[[#This Row],[ACT_CAV]]/Active_Sched[[#This Row],[CYCLE_TIME]])*3600</f>
        <v>3200</v>
      </c>
      <c r="O60" s="6">
        <f>Active_Sched[[#This Row],[PCS_PER_HR]]/Active_Sched[[#This Row],[PCS_PER_CTN]]</f>
        <v>5</v>
      </c>
      <c r="P60" t="str" cm="1">
        <f t="array" ref="P60">_xlfn.REGEXEXTRACT(Active_Sched[[#This Row],[CNTR_DESC]],"- (.*)", 2)</f>
        <v>IML02</v>
      </c>
      <c r="Q60" s="8">
        <f>Active_Sched[[#This Row],[ACT_CAV]]/Active_Sched[[#This Row],[STD_CAV]]</f>
        <v>0.75</v>
      </c>
    </row>
    <row r="61" spans="1:17" x14ac:dyDescent="0.3">
      <c r="A61">
        <v>3</v>
      </c>
      <c r="B61" t="s">
        <v>6</v>
      </c>
      <c r="C61" t="s">
        <v>25</v>
      </c>
      <c r="D61" s="5">
        <v>46302.443981481483</v>
      </c>
      <c r="E61" s="5">
        <v>46305.24690972222</v>
      </c>
      <c r="F61" s="1" t="s">
        <v>93</v>
      </c>
      <c r="G61" t="s">
        <v>94</v>
      </c>
      <c r="H61">
        <v>8</v>
      </c>
      <c r="I61">
        <v>8</v>
      </c>
      <c r="J61" s="6">
        <v>23.9</v>
      </c>
      <c r="K61">
        <v>6.75</v>
      </c>
      <c r="L61">
        <v>640</v>
      </c>
      <c r="M61">
        <v>7.85</v>
      </c>
      <c r="N61" s="6">
        <f>(Active_Sched[[#This Row],[ACT_CAV]]/Active_Sched[[#This Row],[CYCLE_TIME]])*3600</f>
        <v>4266.6666666666661</v>
      </c>
      <c r="O61" s="6">
        <f>Active_Sched[[#This Row],[PCS_PER_HR]]/Active_Sched[[#This Row],[PCS_PER_CTN]]</f>
        <v>6.6666666666666661</v>
      </c>
      <c r="P61" t="str" cm="1">
        <f t="array" ref="P61">_xlfn.REGEXEXTRACT(Active_Sched[[#This Row],[CNTR_DESC]],"- (.*)", 2)</f>
        <v>IML03</v>
      </c>
      <c r="Q61" s="8">
        <f>Active_Sched[[#This Row],[ACT_CAV]]/Active_Sched[[#This Row],[STD_CAV]]</f>
        <v>1</v>
      </c>
    </row>
    <row r="62" spans="1:17" x14ac:dyDescent="0.3">
      <c r="A62">
        <v>3</v>
      </c>
      <c r="B62" t="s">
        <v>6</v>
      </c>
      <c r="C62" t="s">
        <v>25</v>
      </c>
      <c r="D62" s="5">
        <v>46305.24690972222</v>
      </c>
      <c r="E62" s="5">
        <v>46309.34479166667</v>
      </c>
      <c r="F62" s="1" t="s">
        <v>93</v>
      </c>
      <c r="G62" t="s">
        <v>94</v>
      </c>
      <c r="H62">
        <v>8</v>
      </c>
      <c r="I62">
        <v>8</v>
      </c>
      <c r="J62" s="6">
        <v>23.9</v>
      </c>
      <c r="K62">
        <v>6.75</v>
      </c>
      <c r="L62">
        <v>640</v>
      </c>
      <c r="M62"/>
      <c r="N62" s="6">
        <f>(Active_Sched[[#This Row],[ACT_CAV]]/Active_Sched[[#This Row],[CYCLE_TIME]])*3600</f>
        <v>4266.6666666666661</v>
      </c>
      <c r="O62" s="6">
        <f>Active_Sched[[#This Row],[PCS_PER_HR]]/Active_Sched[[#This Row],[PCS_PER_CTN]]</f>
        <v>6.6666666666666661</v>
      </c>
      <c r="P62" t="str" cm="1">
        <f t="array" ref="P62">_xlfn.REGEXEXTRACT(Active_Sched[[#This Row],[CNTR_DESC]],"- (.*)", 2)</f>
        <v>IML03</v>
      </c>
      <c r="Q62" s="8">
        <f>Active_Sched[[#This Row],[ACT_CAV]]/Active_Sched[[#This Row],[STD_CAV]]</f>
        <v>1</v>
      </c>
    </row>
    <row r="63" spans="1:17" x14ac:dyDescent="0.3">
      <c r="A63">
        <v>3</v>
      </c>
      <c r="B63" t="s">
        <v>6</v>
      </c>
      <c r="C63" t="s">
        <v>17</v>
      </c>
      <c r="D63" s="5">
        <v>46307.360625000001</v>
      </c>
      <c r="E63" s="5">
        <v>46309.500173611108</v>
      </c>
      <c r="F63" s="1" t="s">
        <v>93</v>
      </c>
      <c r="G63" t="s">
        <v>94</v>
      </c>
      <c r="H63">
        <v>8</v>
      </c>
      <c r="I63">
        <v>8</v>
      </c>
      <c r="J63" s="6">
        <v>23.9</v>
      </c>
      <c r="K63">
        <v>6.75</v>
      </c>
      <c r="L63">
        <v>640</v>
      </c>
      <c r="M63"/>
      <c r="N63" s="6">
        <f>(Active_Sched[[#This Row],[ACT_CAV]]/Active_Sched[[#This Row],[CYCLE_TIME]])*3600</f>
        <v>4266.6666666666661</v>
      </c>
      <c r="O63" s="6">
        <f>Active_Sched[[#This Row],[PCS_PER_HR]]/Active_Sched[[#This Row],[PCS_PER_CTN]]</f>
        <v>6.6666666666666661</v>
      </c>
      <c r="P63" t="str" cm="1">
        <f t="array" ref="P63">_xlfn.REGEXEXTRACT(Active_Sched[[#This Row],[CNTR_DESC]],"- (.*)", 2)</f>
        <v>IML02</v>
      </c>
      <c r="Q63" s="8">
        <f>Active_Sched[[#This Row],[ACT_CAV]]/Active_Sched[[#This Row],[STD_CAV]]</f>
        <v>1</v>
      </c>
    </row>
    <row r="64" spans="1:17" x14ac:dyDescent="0.3">
      <c r="A64">
        <v>3</v>
      </c>
      <c r="B64" t="s">
        <v>5</v>
      </c>
      <c r="C64" t="s">
        <v>21</v>
      </c>
      <c r="D64" s="5">
        <v>46303.664270833331</v>
      </c>
      <c r="E64" s="5">
        <v>46304.497430555559</v>
      </c>
      <c r="F64" s="1" t="s">
        <v>95</v>
      </c>
      <c r="G64" t="s">
        <v>96</v>
      </c>
      <c r="H64">
        <v>16</v>
      </c>
      <c r="I64">
        <v>16</v>
      </c>
      <c r="J64" s="6">
        <v>10.6</v>
      </c>
      <c r="K64">
        <v>7</v>
      </c>
      <c r="L64">
        <v>350</v>
      </c>
      <c r="M64"/>
      <c r="N64" s="6">
        <f>(Active_Sched[[#This Row],[ACT_CAV]]/Active_Sched[[#This Row],[CYCLE_TIME]])*3600</f>
        <v>8228.5714285714275</v>
      </c>
      <c r="O64" s="6">
        <f>Active_Sched[[#This Row],[PCS_PER_HR]]/Active_Sched[[#This Row],[PCS_PER_CTN]]</f>
        <v>23.510204081632651</v>
      </c>
      <c r="P64" t="str" cm="1">
        <f t="array" ref="P64">_xlfn.REGEXEXTRACT(Active_Sched[[#This Row],[CNTR_DESC]],"- (.*)", 2)</f>
        <v>M01</v>
      </c>
      <c r="Q64" s="8">
        <f>Active_Sched[[#This Row],[ACT_CAV]]/Active_Sched[[#This Row],[STD_CAV]]</f>
        <v>1</v>
      </c>
    </row>
    <row r="65" spans="1:17" x14ac:dyDescent="0.3">
      <c r="A65">
        <v>3</v>
      </c>
      <c r="B65" t="s">
        <v>6</v>
      </c>
      <c r="C65" t="s">
        <v>23</v>
      </c>
      <c r="D65" s="5">
        <v>46302.44</v>
      </c>
      <c r="E65" s="5">
        <v>46303.12300925926</v>
      </c>
      <c r="F65" s="1" t="s">
        <v>49</v>
      </c>
      <c r="G65" t="s">
        <v>50</v>
      </c>
      <c r="H65">
        <v>8</v>
      </c>
      <c r="I65">
        <v>8</v>
      </c>
      <c r="J65" s="6">
        <v>8.16</v>
      </c>
      <c r="K65">
        <v>4.3</v>
      </c>
      <c r="L65">
        <v>1450</v>
      </c>
      <c r="M65"/>
      <c r="N65" s="6">
        <f>(Active_Sched[[#This Row],[ACT_CAV]]/Active_Sched[[#This Row],[CYCLE_TIME]])*3600</f>
        <v>6697.6744186046508</v>
      </c>
      <c r="O65" s="6">
        <f>Active_Sched[[#This Row],[PCS_PER_HR]]/Active_Sched[[#This Row],[PCS_PER_CTN]]</f>
        <v>4.6190858059342421</v>
      </c>
      <c r="P65" t="str" cm="1">
        <f t="array" ref="P65">_xlfn.REGEXEXTRACT(Active_Sched[[#This Row],[CNTR_DESC]],"- (.*)", 2)</f>
        <v>IML06</v>
      </c>
      <c r="Q65" s="8">
        <f>Active_Sched[[#This Row],[ACT_CAV]]/Active_Sched[[#This Row],[STD_CAV]]</f>
        <v>1</v>
      </c>
    </row>
    <row r="66" spans="1:17" x14ac:dyDescent="0.3">
      <c r="A66">
        <v>3</v>
      </c>
      <c r="B66" t="s">
        <v>6</v>
      </c>
      <c r="C66" t="s">
        <v>23</v>
      </c>
      <c r="D66" s="5">
        <v>46303.12300925926</v>
      </c>
      <c r="E66" s="5">
        <v>46304.584432870368</v>
      </c>
      <c r="F66" s="1" t="s">
        <v>49</v>
      </c>
      <c r="G66" t="s">
        <v>50</v>
      </c>
      <c r="H66">
        <v>8</v>
      </c>
      <c r="I66">
        <v>8</v>
      </c>
      <c r="J66" s="6">
        <v>8.16</v>
      </c>
      <c r="K66">
        <v>4.3</v>
      </c>
      <c r="L66">
        <v>1450</v>
      </c>
      <c r="M66"/>
      <c r="N66" s="6">
        <f>(Active_Sched[[#This Row],[ACT_CAV]]/Active_Sched[[#This Row],[CYCLE_TIME]])*3600</f>
        <v>6697.6744186046508</v>
      </c>
      <c r="O66" s="6">
        <f>Active_Sched[[#This Row],[PCS_PER_HR]]/Active_Sched[[#This Row],[PCS_PER_CTN]]</f>
        <v>4.6190858059342421</v>
      </c>
      <c r="P66" t="str" cm="1">
        <f t="array" ref="P66">_xlfn.REGEXEXTRACT(Active_Sched[[#This Row],[CNTR_DESC]],"- (.*)", 2)</f>
        <v>IML06</v>
      </c>
      <c r="Q66" s="8">
        <f>Active_Sched[[#This Row],[ACT_CAV]]/Active_Sched[[#This Row],[STD_CAV]]</f>
        <v>1</v>
      </c>
    </row>
    <row r="68" spans="1:17" x14ac:dyDescent="0.3">
      <c r="K68" s="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1AE31-FDE5-40EB-9182-249B80C6FD48}">
  <dimension ref="A1:AT242"/>
  <sheetViews>
    <sheetView workbookViewId="0"/>
  </sheetViews>
  <sheetFormatPr defaultRowHeight="14.4" x14ac:dyDescent="0.3"/>
  <cols>
    <col min="1" max="1" width="12.109375" bestFit="1" customWidth="1"/>
    <col min="2" max="3" width="15.21875" bestFit="1" customWidth="1"/>
    <col min="4" max="4" width="12.21875" bestFit="1" customWidth="1"/>
    <col min="5" max="5" width="11.33203125" bestFit="1" customWidth="1"/>
    <col min="6" max="6" width="12.77734375" bestFit="1" customWidth="1"/>
    <col min="7" max="7" width="10.77734375" bestFit="1" customWidth="1"/>
    <col min="8" max="8" width="14.5546875" bestFit="1" customWidth="1"/>
    <col min="9" max="9" width="30.88671875" bestFit="1" customWidth="1"/>
    <col min="10" max="10" width="8.6640625" bestFit="1" customWidth="1"/>
    <col min="11" max="11" width="16.109375" bestFit="1" customWidth="1"/>
    <col min="12" max="12" width="12" bestFit="1" customWidth="1"/>
    <col min="13" max="13" width="20.21875" bestFit="1" customWidth="1"/>
    <col min="14" max="14" width="15.77734375" bestFit="1" customWidth="1"/>
    <col min="15" max="15" width="20.44140625" bestFit="1" customWidth="1"/>
    <col min="16" max="16" width="11.109375" bestFit="1" customWidth="1"/>
    <col min="17" max="17" width="10.77734375" bestFit="1" customWidth="1"/>
    <col min="18" max="18" width="14.5546875" bestFit="1" customWidth="1"/>
    <col min="19" max="19" width="19.21875" bestFit="1" customWidth="1"/>
    <col min="20" max="20" width="15.33203125" bestFit="1" customWidth="1"/>
    <col min="21" max="21" width="13.5546875" bestFit="1" customWidth="1"/>
    <col min="22" max="22" width="16.77734375" bestFit="1" customWidth="1"/>
    <col min="23" max="23" width="22.33203125" bestFit="1" customWidth="1"/>
    <col min="24" max="24" width="16.21875" bestFit="1" customWidth="1"/>
    <col min="25" max="25" width="17.21875" bestFit="1" customWidth="1"/>
    <col min="26" max="26" width="16.21875" bestFit="1" customWidth="1"/>
    <col min="27" max="27" width="11.88671875" bestFit="1" customWidth="1"/>
    <col min="28" max="28" width="13.109375" bestFit="1" customWidth="1"/>
    <col min="29" max="29" width="10.44140625" bestFit="1" customWidth="1"/>
    <col min="30" max="30" width="13.109375" bestFit="1" customWidth="1"/>
    <col min="31" max="31" width="13" bestFit="1" customWidth="1"/>
    <col min="32" max="32" width="12.6640625" bestFit="1" customWidth="1"/>
    <col min="33" max="33" width="16.88671875" bestFit="1" customWidth="1"/>
    <col min="34" max="34" width="10.21875" bestFit="1" customWidth="1"/>
    <col min="35" max="35" width="12.77734375" bestFit="1" customWidth="1"/>
    <col min="36" max="36" width="19.44140625" bestFit="1" customWidth="1"/>
    <col min="37" max="37" width="11.6640625" bestFit="1" customWidth="1"/>
    <col min="38" max="38" width="12.109375" bestFit="1" customWidth="1"/>
    <col min="39" max="39" width="11.6640625" bestFit="1" customWidth="1"/>
    <col min="40" max="40" width="12.33203125" bestFit="1" customWidth="1"/>
    <col min="41" max="41" width="11.77734375" bestFit="1" customWidth="1"/>
    <col min="42" max="42" width="14.88671875" bestFit="1" customWidth="1"/>
    <col min="43" max="43" width="34.109375" bestFit="1" customWidth="1"/>
    <col min="44" max="44" width="24.88671875" bestFit="1" customWidth="1"/>
    <col min="45" max="45" width="13" bestFit="1" customWidth="1"/>
    <col min="46" max="46" width="19.44140625" bestFit="1" customWidth="1"/>
  </cols>
  <sheetData>
    <row r="1" spans="1:46" x14ac:dyDescent="0.3">
      <c r="A1" s="9" t="s">
        <v>131</v>
      </c>
      <c r="B1" s="10" t="s">
        <v>133</v>
      </c>
      <c r="C1" s="10" t="s">
        <v>135</v>
      </c>
      <c r="D1" s="10" t="s">
        <v>137</v>
      </c>
      <c r="E1" s="10" t="s">
        <v>8</v>
      </c>
      <c r="F1" s="10" t="s">
        <v>140</v>
      </c>
      <c r="G1" s="10" t="s">
        <v>141</v>
      </c>
      <c r="H1" s="11"/>
      <c r="I1" s="11"/>
      <c r="J1" s="12"/>
    </row>
    <row r="2" spans="1:46" ht="15" thickBot="1" x14ac:dyDescent="0.35">
      <c r="A2" s="13" t="s">
        <v>132</v>
      </c>
      <c r="B2" s="14" t="s">
        <v>134</v>
      </c>
      <c r="C2" s="14" t="s">
        <v>136</v>
      </c>
      <c r="D2" s="14" t="s">
        <v>138</v>
      </c>
      <c r="E2" s="14" t="s">
        <v>139</v>
      </c>
      <c r="F2" s="14" t="s">
        <v>139</v>
      </c>
      <c r="G2" s="14" t="s">
        <v>142</v>
      </c>
      <c r="H2" s="15" t="s">
        <v>0</v>
      </c>
      <c r="I2" s="16" t="str">
        <f>_xll.GEXD("...\IQMS Inventory\IQMS_Translog_JB.edq","Sheet2","GL_Table:1","Y","Y","Y",$A2,$B2,$C2,$D2,$E2,$F2,$G2)</f>
        <v>GenQueryDetail&lt;...\IQMS INVENTORY\IQMS_TRANSLOG_JB.EDQ,Sheet2,GL_Table:1,Y,Y,Y,3,2026,10,7,*,*,193830,,,,,,,,,,,,,,,,,,&gt;</v>
      </c>
      <c r="J2" s="17"/>
    </row>
    <row r="5" spans="1:46" x14ac:dyDescent="0.3">
      <c r="A5" t="s">
        <v>1</v>
      </c>
      <c r="B5" t="s">
        <v>143</v>
      </c>
      <c r="C5" t="s">
        <v>144</v>
      </c>
      <c r="D5" t="s">
        <v>145</v>
      </c>
      <c r="E5" t="s">
        <v>146</v>
      </c>
      <c r="F5" t="s">
        <v>135</v>
      </c>
      <c r="G5" t="s">
        <v>137</v>
      </c>
      <c r="H5" t="s">
        <v>8</v>
      </c>
      <c r="I5" t="s">
        <v>147</v>
      </c>
      <c r="J5" t="s">
        <v>148</v>
      </c>
      <c r="K5" t="s">
        <v>149</v>
      </c>
      <c r="L5" t="s">
        <v>150</v>
      </c>
      <c r="M5" t="s">
        <v>151</v>
      </c>
      <c r="N5" t="s">
        <v>152</v>
      </c>
      <c r="O5" t="s">
        <v>153</v>
      </c>
      <c r="P5" t="s">
        <v>154</v>
      </c>
      <c r="Q5" t="s">
        <v>155</v>
      </c>
      <c r="R5" t="s">
        <v>156</v>
      </c>
      <c r="S5" t="s">
        <v>157</v>
      </c>
      <c r="T5" t="s">
        <v>158</v>
      </c>
      <c r="U5" t="s">
        <v>159</v>
      </c>
      <c r="V5" t="s">
        <v>160</v>
      </c>
      <c r="W5" t="s">
        <v>161</v>
      </c>
      <c r="X5" t="s">
        <v>162</v>
      </c>
      <c r="Y5" t="s">
        <v>163</v>
      </c>
      <c r="Z5" t="s">
        <v>164</v>
      </c>
      <c r="AA5" t="s">
        <v>141</v>
      </c>
      <c r="AB5" t="s">
        <v>165</v>
      </c>
      <c r="AC5" t="s">
        <v>166</v>
      </c>
      <c r="AD5" t="s">
        <v>167</v>
      </c>
      <c r="AE5" t="s">
        <v>168</v>
      </c>
      <c r="AF5" t="s">
        <v>169</v>
      </c>
      <c r="AG5" t="s">
        <v>170</v>
      </c>
      <c r="AH5" t="s">
        <v>171</v>
      </c>
      <c r="AI5" t="s">
        <v>172</v>
      </c>
      <c r="AJ5" t="s">
        <v>173</v>
      </c>
      <c r="AK5" t="s">
        <v>174</v>
      </c>
      <c r="AL5" t="s">
        <v>175</v>
      </c>
      <c r="AM5" t="s">
        <v>176</v>
      </c>
      <c r="AN5" t="s">
        <v>177</v>
      </c>
      <c r="AO5" t="s">
        <v>178</v>
      </c>
      <c r="AP5" t="s">
        <v>179</v>
      </c>
      <c r="AQ5" t="s">
        <v>180</v>
      </c>
      <c r="AR5" t="s">
        <v>181</v>
      </c>
      <c r="AS5" t="s">
        <v>182</v>
      </c>
      <c r="AT5" t="s">
        <v>183</v>
      </c>
    </row>
    <row r="6" spans="1:46" x14ac:dyDescent="0.3">
      <c r="A6">
        <v>3</v>
      </c>
      <c r="B6" s="5">
        <v>46302.252928240741</v>
      </c>
      <c r="C6" s="5">
        <v>46302.294571759259</v>
      </c>
      <c r="D6">
        <v>174644238</v>
      </c>
      <c r="E6">
        <v>2026</v>
      </c>
      <c r="F6">
        <v>10</v>
      </c>
      <c r="G6">
        <v>7</v>
      </c>
      <c r="H6" s="1" t="s">
        <v>184</v>
      </c>
      <c r="I6" t="s">
        <v>185</v>
      </c>
      <c r="J6" t="s">
        <v>186</v>
      </c>
      <c r="K6" t="s">
        <v>187</v>
      </c>
      <c r="L6" t="s">
        <v>188</v>
      </c>
      <c r="M6" t="s">
        <v>189</v>
      </c>
      <c r="N6" t="s">
        <v>190</v>
      </c>
      <c r="O6" s="6">
        <v>890139.15095000004</v>
      </c>
      <c r="P6" s="6">
        <v>-4.9562604189000004</v>
      </c>
      <c r="Q6" s="6">
        <v>-8.2618109999999998</v>
      </c>
      <c r="R6" s="6">
        <v>8.2618109999999998</v>
      </c>
      <c r="S6">
        <v>13</v>
      </c>
      <c r="T6" t="s">
        <v>191</v>
      </c>
      <c r="U6">
        <v>69</v>
      </c>
      <c r="V6" t="s">
        <v>192</v>
      </c>
      <c r="W6" s="1" t="s">
        <v>193</v>
      </c>
      <c r="X6" s="18">
        <v>0.59989999999999999</v>
      </c>
      <c r="Y6" s="18">
        <v>0.59989999999999999</v>
      </c>
      <c r="Z6" t="s">
        <v>194</v>
      </c>
      <c r="AA6">
        <v>193830</v>
      </c>
      <c r="AB6">
        <v>31127188</v>
      </c>
      <c r="AC6">
        <v>0</v>
      </c>
      <c r="AD6">
        <v>6394368</v>
      </c>
      <c r="AG6">
        <v>20862168</v>
      </c>
      <c r="AJ6">
        <v>198295</v>
      </c>
      <c r="AK6" t="s">
        <v>195</v>
      </c>
      <c r="AL6" t="s">
        <v>196</v>
      </c>
      <c r="AN6" t="s">
        <v>197</v>
      </c>
      <c r="AO6">
        <v>0.57489999999999997</v>
      </c>
      <c r="AP6">
        <v>120.09009545000001</v>
      </c>
      <c r="AQ6" t="s">
        <v>41</v>
      </c>
      <c r="AR6" t="s">
        <v>198</v>
      </c>
      <c r="AS6" t="s">
        <v>199</v>
      </c>
      <c r="AT6" t="s">
        <v>200</v>
      </c>
    </row>
    <row r="7" spans="1:46" x14ac:dyDescent="0.3">
      <c r="A7">
        <v>3</v>
      </c>
      <c r="B7" s="5">
        <v>46302.253692129627</v>
      </c>
      <c r="C7" s="5">
        <v>46302.295335648145</v>
      </c>
      <c r="D7">
        <v>174644405</v>
      </c>
      <c r="E7">
        <v>2026</v>
      </c>
      <c r="F7">
        <v>10</v>
      </c>
      <c r="G7">
        <v>7</v>
      </c>
      <c r="H7" s="1" t="s">
        <v>184</v>
      </c>
      <c r="I7" t="s">
        <v>185</v>
      </c>
      <c r="J7" t="s">
        <v>186</v>
      </c>
      <c r="K7" t="s">
        <v>187</v>
      </c>
      <c r="L7" t="s">
        <v>188</v>
      </c>
      <c r="M7" t="s">
        <v>189</v>
      </c>
      <c r="N7" t="s">
        <v>190</v>
      </c>
      <c r="O7" s="6">
        <v>890130.88913899998</v>
      </c>
      <c r="P7" s="6">
        <v>-4.9562604189000004</v>
      </c>
      <c r="Q7" s="6">
        <v>-8.2618109999999998</v>
      </c>
      <c r="R7" s="6">
        <v>8.2618109999999998</v>
      </c>
      <c r="S7">
        <v>13</v>
      </c>
      <c r="T7" t="s">
        <v>191</v>
      </c>
      <c r="U7">
        <v>69</v>
      </c>
      <c r="V7" t="s">
        <v>192</v>
      </c>
      <c r="W7" s="1" t="s">
        <v>193</v>
      </c>
      <c r="X7" s="18">
        <v>0.59989999999999999</v>
      </c>
      <c r="Y7" s="18">
        <v>0.59989999999999999</v>
      </c>
      <c r="Z7" t="s">
        <v>194</v>
      </c>
      <c r="AA7">
        <v>193830</v>
      </c>
      <c r="AB7">
        <v>31127206</v>
      </c>
      <c r="AC7">
        <v>0</v>
      </c>
      <c r="AD7">
        <v>6394368</v>
      </c>
      <c r="AG7">
        <v>20862168</v>
      </c>
      <c r="AJ7">
        <v>198295</v>
      </c>
      <c r="AK7" t="s">
        <v>195</v>
      </c>
      <c r="AL7" t="s">
        <v>196</v>
      </c>
      <c r="AN7" t="s">
        <v>197</v>
      </c>
      <c r="AO7">
        <v>0.57489999999999997</v>
      </c>
      <c r="AP7">
        <v>120.09009545000001</v>
      </c>
      <c r="AQ7" t="s">
        <v>41</v>
      </c>
      <c r="AR7" t="s">
        <v>198</v>
      </c>
      <c r="AS7" t="s">
        <v>199</v>
      </c>
      <c r="AT7" t="s">
        <v>200</v>
      </c>
    </row>
    <row r="8" spans="1:46" x14ac:dyDescent="0.3">
      <c r="A8">
        <v>3</v>
      </c>
      <c r="B8" s="5">
        <v>46302.25445601852</v>
      </c>
      <c r="C8" s="5">
        <v>46302.296099537038</v>
      </c>
      <c r="D8">
        <v>174644588</v>
      </c>
      <c r="E8">
        <v>2026</v>
      </c>
      <c r="F8">
        <v>10</v>
      </c>
      <c r="G8">
        <v>7</v>
      </c>
      <c r="H8" s="1" t="s">
        <v>184</v>
      </c>
      <c r="I8" t="s">
        <v>185</v>
      </c>
      <c r="J8" t="s">
        <v>186</v>
      </c>
      <c r="K8" t="s">
        <v>187</v>
      </c>
      <c r="L8" t="s">
        <v>188</v>
      </c>
      <c r="M8" t="s">
        <v>189</v>
      </c>
      <c r="N8" t="s">
        <v>190</v>
      </c>
      <c r="O8" s="6">
        <v>890122.62732800003</v>
      </c>
      <c r="P8" s="6">
        <v>-4.9562604189000004</v>
      </c>
      <c r="Q8" s="6">
        <v>-8.2618109999999998</v>
      </c>
      <c r="R8" s="6">
        <v>8.2618109999999998</v>
      </c>
      <c r="S8">
        <v>13</v>
      </c>
      <c r="T8" t="s">
        <v>191</v>
      </c>
      <c r="U8">
        <v>69</v>
      </c>
      <c r="V8" t="s">
        <v>192</v>
      </c>
      <c r="W8" s="1" t="s">
        <v>193</v>
      </c>
      <c r="X8" s="18">
        <v>0.59989999999999999</v>
      </c>
      <c r="Y8" s="18">
        <v>0.59989999999999999</v>
      </c>
      <c r="Z8" t="s">
        <v>194</v>
      </c>
      <c r="AA8">
        <v>193830</v>
      </c>
      <c r="AB8">
        <v>31127225</v>
      </c>
      <c r="AC8">
        <v>0</v>
      </c>
      <c r="AD8">
        <v>6394368</v>
      </c>
      <c r="AG8">
        <v>20862168</v>
      </c>
      <c r="AJ8">
        <v>198295</v>
      </c>
      <c r="AK8" t="s">
        <v>195</v>
      </c>
      <c r="AL8" t="s">
        <v>196</v>
      </c>
      <c r="AN8" t="s">
        <v>197</v>
      </c>
      <c r="AO8">
        <v>0.57489999999999997</v>
      </c>
      <c r="AP8">
        <v>120.09009545000001</v>
      </c>
      <c r="AQ8" t="s">
        <v>41</v>
      </c>
      <c r="AR8" t="s">
        <v>198</v>
      </c>
      <c r="AS8" t="s">
        <v>199</v>
      </c>
      <c r="AT8" t="s">
        <v>200</v>
      </c>
    </row>
    <row r="9" spans="1:46" x14ac:dyDescent="0.3">
      <c r="A9">
        <v>3</v>
      </c>
      <c r="B9" s="5">
        <v>46302.254548611112</v>
      </c>
      <c r="C9" s="5">
        <v>46302.29619212963</v>
      </c>
      <c r="D9">
        <v>174644633</v>
      </c>
      <c r="E9">
        <v>2026</v>
      </c>
      <c r="F9">
        <v>10</v>
      </c>
      <c r="G9">
        <v>7</v>
      </c>
      <c r="H9" s="1" t="s">
        <v>184</v>
      </c>
      <c r="I9" t="s">
        <v>185</v>
      </c>
      <c r="J9" t="s">
        <v>186</v>
      </c>
      <c r="K9" t="s">
        <v>187</v>
      </c>
      <c r="L9" t="s">
        <v>188</v>
      </c>
      <c r="M9" t="s">
        <v>189</v>
      </c>
      <c r="N9" t="s">
        <v>190</v>
      </c>
      <c r="O9" s="6">
        <v>890114.36551699997</v>
      </c>
      <c r="P9" s="6">
        <v>-4.4719893441999998</v>
      </c>
      <c r="Q9" s="6">
        <v>-7.4545579999999996</v>
      </c>
      <c r="R9" s="6">
        <v>7.4545579999999996</v>
      </c>
      <c r="S9">
        <v>13</v>
      </c>
      <c r="T9" t="s">
        <v>191</v>
      </c>
      <c r="U9">
        <v>69</v>
      </c>
      <c r="V9" t="s">
        <v>192</v>
      </c>
      <c r="W9" s="1" t="s">
        <v>201</v>
      </c>
      <c r="X9" s="18">
        <v>0.59989999999999999</v>
      </c>
      <c r="Y9" s="18">
        <v>0.59989999999999999</v>
      </c>
      <c r="Z9" t="s">
        <v>194</v>
      </c>
      <c r="AA9">
        <v>193830</v>
      </c>
      <c r="AB9">
        <v>31127228</v>
      </c>
      <c r="AC9">
        <v>0</v>
      </c>
      <c r="AD9">
        <v>6394368</v>
      </c>
      <c r="AG9">
        <v>20712950</v>
      </c>
      <c r="AJ9">
        <v>194436</v>
      </c>
      <c r="AK9" t="s">
        <v>195</v>
      </c>
      <c r="AL9" t="s">
        <v>202</v>
      </c>
      <c r="AN9" t="s">
        <v>197</v>
      </c>
      <c r="AO9">
        <v>0.57489999999999997</v>
      </c>
      <c r="AP9">
        <v>121.09409100000001</v>
      </c>
      <c r="AQ9" t="s">
        <v>56</v>
      </c>
      <c r="AR9" t="s">
        <v>198</v>
      </c>
      <c r="AS9" t="s">
        <v>199</v>
      </c>
      <c r="AT9" t="s">
        <v>200</v>
      </c>
    </row>
    <row r="10" spans="1:46" x14ac:dyDescent="0.3">
      <c r="A10">
        <v>3</v>
      </c>
      <c r="B10" s="5">
        <v>46302.255185185182</v>
      </c>
      <c r="C10" s="5">
        <v>46302.2968287037</v>
      </c>
      <c r="D10">
        <v>174644713</v>
      </c>
      <c r="E10">
        <v>2026</v>
      </c>
      <c r="F10">
        <v>10</v>
      </c>
      <c r="G10">
        <v>7</v>
      </c>
      <c r="H10" s="1" t="s">
        <v>184</v>
      </c>
      <c r="I10" t="s">
        <v>185</v>
      </c>
      <c r="J10" t="s">
        <v>186</v>
      </c>
      <c r="K10" t="s">
        <v>187</v>
      </c>
      <c r="L10" t="s">
        <v>188</v>
      </c>
      <c r="M10" t="s">
        <v>189</v>
      </c>
      <c r="N10" t="s">
        <v>190</v>
      </c>
      <c r="O10" s="6">
        <v>890106.910959</v>
      </c>
      <c r="P10" s="6">
        <v>-4.9562604189000004</v>
      </c>
      <c r="Q10" s="6">
        <v>-8.2618109999999998</v>
      </c>
      <c r="R10" s="6">
        <v>8.2618109999999998</v>
      </c>
      <c r="S10">
        <v>13</v>
      </c>
      <c r="T10" t="s">
        <v>191</v>
      </c>
      <c r="U10">
        <v>69</v>
      </c>
      <c r="V10" t="s">
        <v>192</v>
      </c>
      <c r="W10" s="1" t="s">
        <v>193</v>
      </c>
      <c r="X10" s="18">
        <v>0.59989999999999999</v>
      </c>
      <c r="Y10" s="18">
        <v>0.59989999999999999</v>
      </c>
      <c r="Z10" t="s">
        <v>194</v>
      </c>
      <c r="AA10">
        <v>193830</v>
      </c>
      <c r="AB10">
        <v>31127242</v>
      </c>
      <c r="AC10">
        <v>0</v>
      </c>
      <c r="AD10">
        <v>6394368</v>
      </c>
      <c r="AG10">
        <v>20862168</v>
      </c>
      <c r="AJ10">
        <v>198295</v>
      </c>
      <c r="AK10" t="s">
        <v>195</v>
      </c>
      <c r="AL10" t="s">
        <v>196</v>
      </c>
      <c r="AN10" t="s">
        <v>197</v>
      </c>
      <c r="AO10">
        <v>0.57489999999999997</v>
      </c>
      <c r="AP10">
        <v>120.09009545000001</v>
      </c>
      <c r="AQ10" t="s">
        <v>41</v>
      </c>
      <c r="AR10" t="s">
        <v>198</v>
      </c>
      <c r="AS10" t="s">
        <v>199</v>
      </c>
      <c r="AT10" t="s">
        <v>200</v>
      </c>
    </row>
    <row r="11" spans="1:46" x14ac:dyDescent="0.3">
      <c r="A11">
        <v>3</v>
      </c>
      <c r="B11" s="5">
        <v>46302.255995370368</v>
      </c>
      <c r="C11" s="5">
        <v>46302.297650462962</v>
      </c>
      <c r="D11">
        <v>174644858</v>
      </c>
      <c r="E11">
        <v>2026</v>
      </c>
      <c r="F11">
        <v>10</v>
      </c>
      <c r="G11">
        <v>7</v>
      </c>
      <c r="H11" s="1" t="s">
        <v>184</v>
      </c>
      <c r="I11" t="s">
        <v>185</v>
      </c>
      <c r="J11" t="s">
        <v>186</v>
      </c>
      <c r="K11" t="s">
        <v>187</v>
      </c>
      <c r="L11" t="s">
        <v>188</v>
      </c>
      <c r="M11" t="s">
        <v>189</v>
      </c>
      <c r="N11" t="s">
        <v>190</v>
      </c>
      <c r="O11" s="6">
        <v>890098.64914800005</v>
      </c>
      <c r="P11" s="6">
        <v>-4.4719893441999998</v>
      </c>
      <c r="Q11" s="6">
        <v>-7.4545579999999996</v>
      </c>
      <c r="R11" s="6">
        <v>7.4545579999999996</v>
      </c>
      <c r="S11">
        <v>13</v>
      </c>
      <c r="T11" t="s">
        <v>191</v>
      </c>
      <c r="U11">
        <v>69</v>
      </c>
      <c r="V11" t="s">
        <v>192</v>
      </c>
      <c r="W11" s="1" t="s">
        <v>201</v>
      </c>
      <c r="X11" s="18">
        <v>0.59989999999999999</v>
      </c>
      <c r="Y11" s="18">
        <v>0.59989999999999999</v>
      </c>
      <c r="Z11" t="s">
        <v>194</v>
      </c>
      <c r="AA11">
        <v>193830</v>
      </c>
      <c r="AB11">
        <v>31127262</v>
      </c>
      <c r="AC11">
        <v>0</v>
      </c>
      <c r="AD11">
        <v>6394368</v>
      </c>
      <c r="AG11">
        <v>20712950</v>
      </c>
      <c r="AJ11">
        <v>194436</v>
      </c>
      <c r="AK11" t="s">
        <v>195</v>
      </c>
      <c r="AL11" t="s">
        <v>202</v>
      </c>
      <c r="AN11" t="s">
        <v>197</v>
      </c>
      <c r="AO11">
        <v>0.57489999999999997</v>
      </c>
      <c r="AP11">
        <v>121.09409100000001</v>
      </c>
      <c r="AQ11" t="s">
        <v>56</v>
      </c>
      <c r="AR11" t="s">
        <v>198</v>
      </c>
      <c r="AS11" t="s">
        <v>199</v>
      </c>
      <c r="AT11" t="s">
        <v>200</v>
      </c>
    </row>
    <row r="12" spans="1:46" x14ac:dyDescent="0.3">
      <c r="A12">
        <v>3</v>
      </c>
      <c r="B12" s="5">
        <v>46302.256030092591</v>
      </c>
      <c r="C12" s="5">
        <v>46302.297673611109</v>
      </c>
      <c r="D12">
        <v>174644870</v>
      </c>
      <c r="E12">
        <v>2026</v>
      </c>
      <c r="F12">
        <v>10</v>
      </c>
      <c r="G12">
        <v>7</v>
      </c>
      <c r="H12" s="1" t="s">
        <v>184</v>
      </c>
      <c r="I12" t="s">
        <v>185</v>
      </c>
      <c r="J12" t="s">
        <v>186</v>
      </c>
      <c r="K12" t="s">
        <v>187</v>
      </c>
      <c r="L12" t="s">
        <v>188</v>
      </c>
      <c r="M12" t="s">
        <v>189</v>
      </c>
      <c r="N12" t="s">
        <v>190</v>
      </c>
      <c r="O12" s="6">
        <v>890091.19458999997</v>
      </c>
      <c r="P12" s="6">
        <v>-4.9562604189000004</v>
      </c>
      <c r="Q12" s="6">
        <v>-8.2618109999999998</v>
      </c>
      <c r="R12" s="6">
        <v>8.2618109999999998</v>
      </c>
      <c r="S12">
        <v>13</v>
      </c>
      <c r="T12" t="s">
        <v>191</v>
      </c>
      <c r="U12">
        <v>69</v>
      </c>
      <c r="V12" t="s">
        <v>192</v>
      </c>
      <c r="W12" s="1" t="s">
        <v>193</v>
      </c>
      <c r="X12" s="18">
        <v>0.59989999999999999</v>
      </c>
      <c r="Y12" s="18">
        <v>0.59989999999999999</v>
      </c>
      <c r="Z12" t="s">
        <v>194</v>
      </c>
      <c r="AA12">
        <v>193830</v>
      </c>
      <c r="AB12">
        <v>31127263</v>
      </c>
      <c r="AC12">
        <v>0</v>
      </c>
      <c r="AD12">
        <v>6394368</v>
      </c>
      <c r="AG12">
        <v>20862168</v>
      </c>
      <c r="AJ12">
        <v>198295</v>
      </c>
      <c r="AK12" t="s">
        <v>195</v>
      </c>
      <c r="AL12" t="s">
        <v>196</v>
      </c>
      <c r="AN12" t="s">
        <v>197</v>
      </c>
      <c r="AO12">
        <v>0.57489999999999997</v>
      </c>
      <c r="AP12">
        <v>120.09009545000001</v>
      </c>
      <c r="AQ12" t="s">
        <v>41</v>
      </c>
      <c r="AR12" t="s">
        <v>198</v>
      </c>
      <c r="AS12" t="s">
        <v>199</v>
      </c>
      <c r="AT12" t="s">
        <v>200</v>
      </c>
    </row>
    <row r="13" spans="1:46" x14ac:dyDescent="0.3">
      <c r="A13">
        <v>3</v>
      </c>
      <c r="B13" s="5">
        <v>46302.256736111114</v>
      </c>
      <c r="C13" s="5">
        <v>46302.298379629632</v>
      </c>
      <c r="D13">
        <v>174645120</v>
      </c>
      <c r="E13">
        <v>2026</v>
      </c>
      <c r="F13">
        <v>10</v>
      </c>
      <c r="G13">
        <v>7</v>
      </c>
      <c r="H13" s="1" t="s">
        <v>184</v>
      </c>
      <c r="I13" t="s">
        <v>185</v>
      </c>
      <c r="J13" t="s">
        <v>186</v>
      </c>
      <c r="K13" t="s">
        <v>187</v>
      </c>
      <c r="L13" t="s">
        <v>188</v>
      </c>
      <c r="M13" t="s">
        <v>189</v>
      </c>
      <c r="N13" t="s">
        <v>190</v>
      </c>
      <c r="O13" s="6">
        <v>890082.93277900002</v>
      </c>
      <c r="P13" s="6">
        <v>-4.9562604189000004</v>
      </c>
      <c r="Q13" s="6">
        <v>-8.2618109999999998</v>
      </c>
      <c r="R13" s="6">
        <v>8.2618109999999998</v>
      </c>
      <c r="S13">
        <v>13</v>
      </c>
      <c r="T13" t="s">
        <v>191</v>
      </c>
      <c r="U13">
        <v>69</v>
      </c>
      <c r="V13" t="s">
        <v>192</v>
      </c>
      <c r="W13" s="1" t="s">
        <v>193</v>
      </c>
      <c r="X13" s="18">
        <v>0.59989999999999999</v>
      </c>
      <c r="Y13" s="18">
        <v>0.59989999999999999</v>
      </c>
      <c r="Z13" t="s">
        <v>194</v>
      </c>
      <c r="AA13">
        <v>193830</v>
      </c>
      <c r="AB13">
        <v>31127296</v>
      </c>
      <c r="AC13">
        <v>0</v>
      </c>
      <c r="AD13">
        <v>6394368</v>
      </c>
      <c r="AG13">
        <v>20862168</v>
      </c>
      <c r="AJ13">
        <v>198295</v>
      </c>
      <c r="AK13" t="s">
        <v>195</v>
      </c>
      <c r="AL13" t="s">
        <v>196</v>
      </c>
      <c r="AN13" t="s">
        <v>197</v>
      </c>
      <c r="AO13">
        <v>0.57489999999999997</v>
      </c>
      <c r="AP13">
        <v>120.09009545000001</v>
      </c>
      <c r="AQ13" t="s">
        <v>41</v>
      </c>
      <c r="AR13" t="s">
        <v>198</v>
      </c>
      <c r="AS13" t="s">
        <v>199</v>
      </c>
      <c r="AT13" t="s">
        <v>200</v>
      </c>
    </row>
    <row r="14" spans="1:46" x14ac:dyDescent="0.3">
      <c r="A14">
        <v>3</v>
      </c>
      <c r="B14" s="5">
        <v>46302.257870370369</v>
      </c>
      <c r="C14" s="5">
        <v>46302.299513888887</v>
      </c>
      <c r="D14">
        <v>174645364</v>
      </c>
      <c r="E14">
        <v>2026</v>
      </c>
      <c r="F14">
        <v>10</v>
      </c>
      <c r="G14">
        <v>7</v>
      </c>
      <c r="H14" s="1" t="s">
        <v>184</v>
      </c>
      <c r="I14" t="s">
        <v>185</v>
      </c>
      <c r="J14" t="s">
        <v>186</v>
      </c>
      <c r="K14" t="s">
        <v>187</v>
      </c>
      <c r="L14" t="s">
        <v>188</v>
      </c>
      <c r="M14" t="s">
        <v>189</v>
      </c>
      <c r="N14" t="s">
        <v>190</v>
      </c>
      <c r="O14" s="6">
        <v>890074.67096799996</v>
      </c>
      <c r="P14" s="6">
        <v>-4.4872573990999998</v>
      </c>
      <c r="Q14" s="6">
        <v>-7.4800089999999999</v>
      </c>
      <c r="R14" s="6">
        <v>7.4800089999999999</v>
      </c>
      <c r="S14">
        <v>13</v>
      </c>
      <c r="T14" t="s">
        <v>191</v>
      </c>
      <c r="U14">
        <v>69</v>
      </c>
      <c r="V14" t="s">
        <v>192</v>
      </c>
      <c r="W14" s="1" t="s">
        <v>203</v>
      </c>
      <c r="X14" s="18">
        <v>0.59989999999999999</v>
      </c>
      <c r="Y14" s="18">
        <v>0.59989999999999999</v>
      </c>
      <c r="Z14" t="s">
        <v>194</v>
      </c>
      <c r="AA14">
        <v>193830</v>
      </c>
      <c r="AB14">
        <v>31127331</v>
      </c>
      <c r="AC14">
        <v>0</v>
      </c>
      <c r="AD14">
        <v>6394368</v>
      </c>
      <c r="AG14">
        <v>20871851</v>
      </c>
      <c r="AJ14">
        <v>192817</v>
      </c>
      <c r="AK14" t="s">
        <v>195</v>
      </c>
      <c r="AL14" t="s">
        <v>204</v>
      </c>
      <c r="AN14" t="s">
        <v>197</v>
      </c>
      <c r="AO14">
        <v>0.57489999999999997</v>
      </c>
      <c r="AP14">
        <v>121.080091</v>
      </c>
      <c r="AQ14" t="s">
        <v>54</v>
      </c>
      <c r="AR14" t="s">
        <v>198</v>
      </c>
      <c r="AS14" t="s">
        <v>199</v>
      </c>
      <c r="AT14" t="s">
        <v>200</v>
      </c>
    </row>
    <row r="15" spans="1:46" x14ac:dyDescent="0.3">
      <c r="A15">
        <v>3</v>
      </c>
      <c r="B15" s="5">
        <v>46302.25818287037</v>
      </c>
      <c r="C15" s="5">
        <v>46302.299826388888</v>
      </c>
      <c r="D15">
        <v>174645407</v>
      </c>
      <c r="E15">
        <v>2026</v>
      </c>
      <c r="F15">
        <v>10</v>
      </c>
      <c r="G15">
        <v>7</v>
      </c>
      <c r="H15" s="1" t="s">
        <v>184</v>
      </c>
      <c r="I15" t="s">
        <v>185</v>
      </c>
      <c r="J15" t="s">
        <v>186</v>
      </c>
      <c r="K15" t="s">
        <v>187</v>
      </c>
      <c r="L15" t="s">
        <v>188</v>
      </c>
      <c r="M15" t="s">
        <v>189</v>
      </c>
      <c r="N15" t="s">
        <v>190</v>
      </c>
      <c r="O15" s="6">
        <v>890067.19095900003</v>
      </c>
      <c r="P15" s="6">
        <v>-4.4872573990999998</v>
      </c>
      <c r="Q15" s="6">
        <v>-7.4800089999999999</v>
      </c>
      <c r="R15" s="6">
        <v>7.4800089999999999</v>
      </c>
      <c r="S15">
        <v>13</v>
      </c>
      <c r="T15" t="s">
        <v>191</v>
      </c>
      <c r="U15">
        <v>69</v>
      </c>
      <c r="V15" t="s">
        <v>192</v>
      </c>
      <c r="W15" s="1" t="s">
        <v>203</v>
      </c>
      <c r="X15" s="18">
        <v>0.59989999999999999</v>
      </c>
      <c r="Y15" s="18">
        <v>0.59989999999999999</v>
      </c>
      <c r="Z15" t="s">
        <v>194</v>
      </c>
      <c r="AA15">
        <v>193830</v>
      </c>
      <c r="AB15">
        <v>31127340</v>
      </c>
      <c r="AC15">
        <v>0</v>
      </c>
      <c r="AD15">
        <v>6394368</v>
      </c>
      <c r="AG15">
        <v>20871851</v>
      </c>
      <c r="AJ15">
        <v>192817</v>
      </c>
      <c r="AK15" t="s">
        <v>195</v>
      </c>
      <c r="AL15" t="s">
        <v>204</v>
      </c>
      <c r="AN15" t="s">
        <v>197</v>
      </c>
      <c r="AO15">
        <v>0.57489999999999997</v>
      </c>
      <c r="AP15">
        <v>121.080091</v>
      </c>
      <c r="AQ15" t="s">
        <v>54</v>
      </c>
      <c r="AR15" t="s">
        <v>198</v>
      </c>
      <c r="AS15" t="s">
        <v>199</v>
      </c>
      <c r="AT15" t="s">
        <v>200</v>
      </c>
    </row>
    <row r="16" spans="1:46" x14ac:dyDescent="0.3">
      <c r="A16">
        <v>3</v>
      </c>
      <c r="B16" s="5">
        <v>46302.258217592593</v>
      </c>
      <c r="C16" s="5">
        <v>46302.299861111111</v>
      </c>
      <c r="D16">
        <v>174645420</v>
      </c>
      <c r="E16">
        <v>2026</v>
      </c>
      <c r="F16">
        <v>10</v>
      </c>
      <c r="G16">
        <v>7</v>
      </c>
      <c r="H16" s="1" t="s">
        <v>184</v>
      </c>
      <c r="I16" t="s">
        <v>185</v>
      </c>
      <c r="J16" t="s">
        <v>186</v>
      </c>
      <c r="K16" t="s">
        <v>187</v>
      </c>
      <c r="L16" t="s">
        <v>188</v>
      </c>
      <c r="M16" t="s">
        <v>189</v>
      </c>
      <c r="N16" t="s">
        <v>190</v>
      </c>
      <c r="O16" s="6">
        <v>890059.71094999998</v>
      </c>
      <c r="P16" s="6">
        <v>-4.4872573990999998</v>
      </c>
      <c r="Q16" s="6">
        <v>-7.4800089999999999</v>
      </c>
      <c r="R16" s="6">
        <v>7.4800089999999999</v>
      </c>
      <c r="S16">
        <v>13</v>
      </c>
      <c r="T16" t="s">
        <v>191</v>
      </c>
      <c r="U16">
        <v>69</v>
      </c>
      <c r="V16" t="s">
        <v>192</v>
      </c>
      <c r="W16" s="1" t="s">
        <v>203</v>
      </c>
      <c r="X16" s="18">
        <v>0.59989999999999999</v>
      </c>
      <c r="Y16" s="18">
        <v>0.59989999999999999</v>
      </c>
      <c r="Z16" t="s">
        <v>194</v>
      </c>
      <c r="AA16">
        <v>193830</v>
      </c>
      <c r="AB16">
        <v>31127341</v>
      </c>
      <c r="AC16">
        <v>0</v>
      </c>
      <c r="AD16">
        <v>6394368</v>
      </c>
      <c r="AG16">
        <v>20871851</v>
      </c>
      <c r="AJ16">
        <v>192817</v>
      </c>
      <c r="AK16" t="s">
        <v>195</v>
      </c>
      <c r="AL16" t="s">
        <v>204</v>
      </c>
      <c r="AN16" t="s">
        <v>197</v>
      </c>
      <c r="AO16">
        <v>0.57489999999999997</v>
      </c>
      <c r="AP16">
        <v>121.080091</v>
      </c>
      <c r="AQ16" t="s">
        <v>54</v>
      </c>
      <c r="AR16" t="s">
        <v>198</v>
      </c>
      <c r="AS16" t="s">
        <v>199</v>
      </c>
      <c r="AT16" t="s">
        <v>200</v>
      </c>
    </row>
    <row r="17" spans="1:46" x14ac:dyDescent="0.3">
      <c r="A17">
        <v>3</v>
      </c>
      <c r="B17" s="5">
        <v>46302.258483796293</v>
      </c>
      <c r="C17" s="5">
        <v>46302.300127314818</v>
      </c>
      <c r="D17">
        <v>174645500</v>
      </c>
      <c r="E17">
        <v>2026</v>
      </c>
      <c r="F17">
        <v>10</v>
      </c>
      <c r="G17">
        <v>7</v>
      </c>
      <c r="H17" s="1" t="s">
        <v>184</v>
      </c>
      <c r="I17" t="s">
        <v>185</v>
      </c>
      <c r="J17" t="s">
        <v>186</v>
      </c>
      <c r="K17" t="s">
        <v>187</v>
      </c>
      <c r="L17" t="s">
        <v>188</v>
      </c>
      <c r="M17" t="s">
        <v>189</v>
      </c>
      <c r="N17" t="s">
        <v>190</v>
      </c>
      <c r="O17" s="6">
        <v>890052.23094100005</v>
      </c>
      <c r="P17" s="6">
        <v>-5.8914037357</v>
      </c>
      <c r="Q17" s="6">
        <v>-9.8206430000000005</v>
      </c>
      <c r="R17" s="6">
        <v>9.8206430000000005</v>
      </c>
      <c r="S17">
        <v>13</v>
      </c>
      <c r="T17" t="s">
        <v>191</v>
      </c>
      <c r="U17">
        <v>69</v>
      </c>
      <c r="V17" t="s">
        <v>192</v>
      </c>
      <c r="W17" s="1" t="s">
        <v>205</v>
      </c>
      <c r="X17" s="18">
        <v>0.59989999999999999</v>
      </c>
      <c r="Y17" s="18">
        <v>0.59989999999999999</v>
      </c>
      <c r="Z17" t="s">
        <v>194</v>
      </c>
      <c r="AA17">
        <v>193830</v>
      </c>
      <c r="AB17">
        <v>31127350</v>
      </c>
      <c r="AC17">
        <v>0</v>
      </c>
      <c r="AD17">
        <v>6394368</v>
      </c>
      <c r="AG17">
        <v>20768074</v>
      </c>
      <c r="AJ17">
        <v>197576</v>
      </c>
      <c r="AK17" t="s">
        <v>195</v>
      </c>
      <c r="AL17" t="s">
        <v>206</v>
      </c>
      <c r="AN17" t="s">
        <v>197</v>
      </c>
      <c r="AO17">
        <v>0.57489999999999997</v>
      </c>
      <c r="AP17">
        <v>120.04309120000001</v>
      </c>
      <c r="AQ17" t="s">
        <v>39</v>
      </c>
      <c r="AR17" t="s">
        <v>198</v>
      </c>
      <c r="AS17" t="s">
        <v>199</v>
      </c>
      <c r="AT17" t="s">
        <v>200</v>
      </c>
    </row>
    <row r="18" spans="1:46" x14ac:dyDescent="0.3">
      <c r="A18">
        <v>3</v>
      </c>
      <c r="B18" s="5">
        <v>46302.258969907409</v>
      </c>
      <c r="C18" s="5">
        <v>46302.300613425927</v>
      </c>
      <c r="D18">
        <v>174645664</v>
      </c>
      <c r="E18">
        <v>2026</v>
      </c>
      <c r="F18">
        <v>10</v>
      </c>
      <c r="G18">
        <v>7</v>
      </c>
      <c r="H18" s="1" t="s">
        <v>184</v>
      </c>
      <c r="I18" t="s">
        <v>185</v>
      </c>
      <c r="J18" t="s">
        <v>186</v>
      </c>
      <c r="K18" t="s">
        <v>187</v>
      </c>
      <c r="L18" t="s">
        <v>188</v>
      </c>
      <c r="M18" t="s">
        <v>189</v>
      </c>
      <c r="N18" t="s">
        <v>190</v>
      </c>
      <c r="O18" s="6">
        <v>890042.41029799997</v>
      </c>
      <c r="P18" s="6">
        <v>-4.4719893441999998</v>
      </c>
      <c r="Q18" s="6">
        <v>-7.4545579999999996</v>
      </c>
      <c r="R18" s="6">
        <v>7.4545579999999996</v>
      </c>
      <c r="S18">
        <v>13</v>
      </c>
      <c r="T18" t="s">
        <v>191</v>
      </c>
      <c r="U18">
        <v>69</v>
      </c>
      <c r="V18" t="s">
        <v>192</v>
      </c>
      <c r="W18" s="1" t="s">
        <v>201</v>
      </c>
      <c r="X18" s="18">
        <v>0.59989999999999999</v>
      </c>
      <c r="Y18" s="18">
        <v>0.59989999999999999</v>
      </c>
      <c r="Z18" t="s">
        <v>194</v>
      </c>
      <c r="AA18">
        <v>193830</v>
      </c>
      <c r="AB18">
        <v>31127369</v>
      </c>
      <c r="AC18">
        <v>0</v>
      </c>
      <c r="AD18">
        <v>6394368</v>
      </c>
      <c r="AG18">
        <v>20712950</v>
      </c>
      <c r="AJ18">
        <v>194436</v>
      </c>
      <c r="AK18" t="s">
        <v>195</v>
      </c>
      <c r="AL18" t="s">
        <v>202</v>
      </c>
      <c r="AN18" t="s">
        <v>197</v>
      </c>
      <c r="AO18">
        <v>0.57489999999999997</v>
      </c>
      <c r="AP18">
        <v>121.09409100000001</v>
      </c>
      <c r="AQ18" t="s">
        <v>56</v>
      </c>
      <c r="AR18" t="s">
        <v>198</v>
      </c>
      <c r="AS18" t="s">
        <v>199</v>
      </c>
      <c r="AT18" t="s">
        <v>200</v>
      </c>
    </row>
    <row r="19" spans="1:46" x14ac:dyDescent="0.3">
      <c r="A19">
        <v>3</v>
      </c>
      <c r="B19" s="5">
        <v>46302.259398148148</v>
      </c>
      <c r="C19" s="5">
        <v>46302.301041666666</v>
      </c>
      <c r="D19">
        <v>174645720</v>
      </c>
      <c r="E19">
        <v>2026</v>
      </c>
      <c r="F19">
        <v>10</v>
      </c>
      <c r="G19">
        <v>7</v>
      </c>
      <c r="H19" s="1" t="s">
        <v>184</v>
      </c>
      <c r="I19" t="s">
        <v>185</v>
      </c>
      <c r="J19" t="s">
        <v>186</v>
      </c>
      <c r="K19" t="s">
        <v>187</v>
      </c>
      <c r="L19" t="s">
        <v>188</v>
      </c>
      <c r="M19" t="s">
        <v>189</v>
      </c>
      <c r="N19" t="s">
        <v>190</v>
      </c>
      <c r="O19" s="6">
        <v>890034.95574</v>
      </c>
      <c r="P19" s="6">
        <v>-5.8914037357</v>
      </c>
      <c r="Q19" s="6">
        <v>-9.8206430000000005</v>
      </c>
      <c r="R19" s="6">
        <v>9.8206430000000005</v>
      </c>
      <c r="S19">
        <v>13</v>
      </c>
      <c r="T19" t="s">
        <v>191</v>
      </c>
      <c r="U19">
        <v>69</v>
      </c>
      <c r="V19" t="s">
        <v>192</v>
      </c>
      <c r="W19" s="1" t="s">
        <v>205</v>
      </c>
      <c r="X19" s="18">
        <v>0.59989999999999999</v>
      </c>
      <c r="Y19" s="18">
        <v>0.59989999999999999</v>
      </c>
      <c r="Z19" t="s">
        <v>194</v>
      </c>
      <c r="AA19">
        <v>193830</v>
      </c>
      <c r="AB19">
        <v>31127374</v>
      </c>
      <c r="AC19">
        <v>0</v>
      </c>
      <c r="AD19">
        <v>6394368</v>
      </c>
      <c r="AG19">
        <v>20768074</v>
      </c>
      <c r="AJ19">
        <v>197576</v>
      </c>
      <c r="AK19" t="s">
        <v>195</v>
      </c>
      <c r="AL19" t="s">
        <v>206</v>
      </c>
      <c r="AN19" t="s">
        <v>197</v>
      </c>
      <c r="AO19">
        <v>0.57489999999999997</v>
      </c>
      <c r="AP19">
        <v>120.04309120000001</v>
      </c>
      <c r="AQ19" t="s">
        <v>39</v>
      </c>
      <c r="AR19" t="s">
        <v>198</v>
      </c>
      <c r="AS19" t="s">
        <v>199</v>
      </c>
      <c r="AT19" t="s">
        <v>200</v>
      </c>
    </row>
    <row r="20" spans="1:46" x14ac:dyDescent="0.3">
      <c r="A20">
        <v>3</v>
      </c>
      <c r="B20" s="5">
        <v>46302.260208333333</v>
      </c>
      <c r="C20" s="5">
        <v>46302.301863425928</v>
      </c>
      <c r="D20">
        <v>174645868</v>
      </c>
      <c r="E20">
        <v>2026</v>
      </c>
      <c r="F20">
        <v>10</v>
      </c>
      <c r="G20">
        <v>7</v>
      </c>
      <c r="H20" s="1" t="s">
        <v>184</v>
      </c>
      <c r="I20" t="s">
        <v>185</v>
      </c>
      <c r="J20" t="s">
        <v>186</v>
      </c>
      <c r="K20" t="s">
        <v>187</v>
      </c>
      <c r="L20" t="s">
        <v>188</v>
      </c>
      <c r="M20" t="s">
        <v>189</v>
      </c>
      <c r="N20" t="s">
        <v>190</v>
      </c>
      <c r="O20" s="6">
        <v>890025.13509700005</v>
      </c>
      <c r="P20" s="6">
        <v>-5.8914037357</v>
      </c>
      <c r="Q20" s="6">
        <v>-9.8206430000000005</v>
      </c>
      <c r="R20" s="6">
        <v>9.8206430000000005</v>
      </c>
      <c r="S20">
        <v>13</v>
      </c>
      <c r="T20" t="s">
        <v>191</v>
      </c>
      <c r="U20">
        <v>69</v>
      </c>
      <c r="V20" t="s">
        <v>192</v>
      </c>
      <c r="W20" s="1" t="s">
        <v>205</v>
      </c>
      <c r="X20" s="18">
        <v>0.59989999999999999</v>
      </c>
      <c r="Y20" s="18">
        <v>0.59989999999999999</v>
      </c>
      <c r="Z20" t="s">
        <v>194</v>
      </c>
      <c r="AA20">
        <v>193830</v>
      </c>
      <c r="AB20">
        <v>31127396</v>
      </c>
      <c r="AC20">
        <v>0</v>
      </c>
      <c r="AD20">
        <v>6394368</v>
      </c>
      <c r="AG20">
        <v>20768074</v>
      </c>
      <c r="AJ20">
        <v>197576</v>
      </c>
      <c r="AK20" t="s">
        <v>195</v>
      </c>
      <c r="AL20" t="s">
        <v>206</v>
      </c>
      <c r="AN20" t="s">
        <v>197</v>
      </c>
      <c r="AO20">
        <v>0.57489999999999997</v>
      </c>
      <c r="AP20">
        <v>120.04309120000001</v>
      </c>
      <c r="AQ20" t="s">
        <v>39</v>
      </c>
      <c r="AR20" t="s">
        <v>198</v>
      </c>
      <c r="AS20" t="s">
        <v>199</v>
      </c>
      <c r="AT20" t="s">
        <v>200</v>
      </c>
    </row>
    <row r="21" spans="1:46" x14ac:dyDescent="0.3">
      <c r="A21">
        <v>3</v>
      </c>
      <c r="B21" s="5">
        <v>46302.261030092595</v>
      </c>
      <c r="C21" s="5">
        <v>46302.302673611113</v>
      </c>
      <c r="D21">
        <v>174646010</v>
      </c>
      <c r="E21">
        <v>2026</v>
      </c>
      <c r="F21">
        <v>10</v>
      </c>
      <c r="G21">
        <v>7</v>
      </c>
      <c r="H21" s="1" t="s">
        <v>184</v>
      </c>
      <c r="I21" t="s">
        <v>185</v>
      </c>
      <c r="J21" t="s">
        <v>186</v>
      </c>
      <c r="K21" t="s">
        <v>187</v>
      </c>
      <c r="L21" t="s">
        <v>188</v>
      </c>
      <c r="M21" t="s">
        <v>189</v>
      </c>
      <c r="N21" t="s">
        <v>190</v>
      </c>
      <c r="O21" s="6">
        <v>890015.31445399998</v>
      </c>
      <c r="P21" s="6">
        <v>-5.8914037357</v>
      </c>
      <c r="Q21" s="6">
        <v>-9.8206430000000005</v>
      </c>
      <c r="R21" s="6">
        <v>9.8206430000000005</v>
      </c>
      <c r="S21">
        <v>13</v>
      </c>
      <c r="T21" t="s">
        <v>191</v>
      </c>
      <c r="U21">
        <v>69</v>
      </c>
      <c r="V21" t="s">
        <v>192</v>
      </c>
      <c r="W21" s="1" t="s">
        <v>205</v>
      </c>
      <c r="X21" s="18">
        <v>0.59989999999999999</v>
      </c>
      <c r="Y21" s="18">
        <v>0.59989999999999999</v>
      </c>
      <c r="Z21" t="s">
        <v>194</v>
      </c>
      <c r="AA21">
        <v>193830</v>
      </c>
      <c r="AB21">
        <v>31127415</v>
      </c>
      <c r="AC21">
        <v>0</v>
      </c>
      <c r="AD21">
        <v>6394368</v>
      </c>
      <c r="AG21">
        <v>20768074</v>
      </c>
      <c r="AJ21">
        <v>197576</v>
      </c>
      <c r="AK21" t="s">
        <v>195</v>
      </c>
      <c r="AL21" t="s">
        <v>206</v>
      </c>
      <c r="AN21" t="s">
        <v>197</v>
      </c>
      <c r="AO21">
        <v>0.57489999999999997</v>
      </c>
      <c r="AP21">
        <v>120.04309120000001</v>
      </c>
      <c r="AQ21" t="s">
        <v>39</v>
      </c>
      <c r="AR21" t="s">
        <v>198</v>
      </c>
      <c r="AS21" t="s">
        <v>199</v>
      </c>
      <c r="AT21" t="s">
        <v>200</v>
      </c>
    </row>
    <row r="22" spans="1:46" x14ac:dyDescent="0.3">
      <c r="A22">
        <v>3</v>
      </c>
      <c r="B22" s="5">
        <v>46302.262719907405</v>
      </c>
      <c r="C22" s="5">
        <v>46302.304375</v>
      </c>
      <c r="D22">
        <v>174646327</v>
      </c>
      <c r="E22">
        <v>2026</v>
      </c>
      <c r="F22">
        <v>10</v>
      </c>
      <c r="G22">
        <v>7</v>
      </c>
      <c r="H22" s="1" t="s">
        <v>184</v>
      </c>
      <c r="I22" t="s">
        <v>185</v>
      </c>
      <c r="J22" t="s">
        <v>186</v>
      </c>
      <c r="K22" t="s">
        <v>187</v>
      </c>
      <c r="L22" t="s">
        <v>188</v>
      </c>
      <c r="M22" t="s">
        <v>189</v>
      </c>
      <c r="N22" t="s">
        <v>190</v>
      </c>
      <c r="O22" s="6">
        <v>890005.49381100002</v>
      </c>
      <c r="P22" s="6">
        <v>-5.8914037357</v>
      </c>
      <c r="Q22" s="6">
        <v>-9.8206430000000005</v>
      </c>
      <c r="R22" s="6">
        <v>9.8206430000000005</v>
      </c>
      <c r="S22">
        <v>13</v>
      </c>
      <c r="T22" t="s">
        <v>191</v>
      </c>
      <c r="U22">
        <v>69</v>
      </c>
      <c r="V22" t="s">
        <v>192</v>
      </c>
      <c r="W22" s="1" t="s">
        <v>205</v>
      </c>
      <c r="X22" s="18">
        <v>0.59989999999999999</v>
      </c>
      <c r="Y22" s="18">
        <v>0.59989999999999999</v>
      </c>
      <c r="Z22" t="s">
        <v>194</v>
      </c>
      <c r="AA22">
        <v>193830</v>
      </c>
      <c r="AB22">
        <v>31127470</v>
      </c>
      <c r="AC22">
        <v>0</v>
      </c>
      <c r="AD22">
        <v>6394368</v>
      </c>
      <c r="AG22">
        <v>20768074</v>
      </c>
      <c r="AJ22">
        <v>197576</v>
      </c>
      <c r="AK22" t="s">
        <v>195</v>
      </c>
      <c r="AL22" t="s">
        <v>206</v>
      </c>
      <c r="AN22" t="s">
        <v>197</v>
      </c>
      <c r="AO22">
        <v>0.57489999999999997</v>
      </c>
      <c r="AP22">
        <v>120.04309120000001</v>
      </c>
      <c r="AQ22" t="s">
        <v>39</v>
      </c>
      <c r="AR22" t="s">
        <v>198</v>
      </c>
      <c r="AS22" t="s">
        <v>199</v>
      </c>
      <c r="AT22" t="s">
        <v>200</v>
      </c>
    </row>
    <row r="23" spans="1:46" x14ac:dyDescent="0.3">
      <c r="A23">
        <v>3</v>
      </c>
      <c r="B23" s="5">
        <v>46302.264421296299</v>
      </c>
      <c r="C23" s="5">
        <v>46302.306064814817</v>
      </c>
      <c r="D23">
        <v>174646656</v>
      </c>
      <c r="E23">
        <v>2026</v>
      </c>
      <c r="F23">
        <v>10</v>
      </c>
      <c r="G23">
        <v>7</v>
      </c>
      <c r="H23" s="1" t="s">
        <v>184</v>
      </c>
      <c r="I23" t="s">
        <v>185</v>
      </c>
      <c r="J23" t="s">
        <v>186</v>
      </c>
      <c r="K23" t="s">
        <v>187</v>
      </c>
      <c r="L23" t="s">
        <v>188</v>
      </c>
      <c r="M23" t="s">
        <v>189</v>
      </c>
      <c r="N23" t="s">
        <v>190</v>
      </c>
      <c r="O23" s="6">
        <v>889995.67316799995</v>
      </c>
      <c r="P23" s="6">
        <v>-4.4872573990999998</v>
      </c>
      <c r="Q23" s="6">
        <v>-7.4800089999999999</v>
      </c>
      <c r="R23" s="6">
        <v>7.4800089999999999</v>
      </c>
      <c r="S23">
        <v>13</v>
      </c>
      <c r="T23" t="s">
        <v>191</v>
      </c>
      <c r="U23">
        <v>69</v>
      </c>
      <c r="V23" t="s">
        <v>192</v>
      </c>
      <c r="W23" s="1" t="s">
        <v>203</v>
      </c>
      <c r="X23" s="18">
        <v>0.59989999999999999</v>
      </c>
      <c r="Y23" s="18">
        <v>0.59989999999999999</v>
      </c>
      <c r="Z23" t="s">
        <v>194</v>
      </c>
      <c r="AA23">
        <v>193830</v>
      </c>
      <c r="AB23">
        <v>31127521</v>
      </c>
      <c r="AC23">
        <v>0</v>
      </c>
      <c r="AD23">
        <v>6394368</v>
      </c>
      <c r="AG23">
        <v>20871851</v>
      </c>
      <c r="AJ23">
        <v>192817</v>
      </c>
      <c r="AK23" t="s">
        <v>195</v>
      </c>
      <c r="AL23" t="s">
        <v>204</v>
      </c>
      <c r="AN23" t="s">
        <v>197</v>
      </c>
      <c r="AO23">
        <v>0.57489999999999997</v>
      </c>
      <c r="AP23">
        <v>121.080091</v>
      </c>
      <c r="AQ23" t="s">
        <v>54</v>
      </c>
      <c r="AR23" t="s">
        <v>198</v>
      </c>
      <c r="AS23" t="s">
        <v>199</v>
      </c>
      <c r="AT23" t="s">
        <v>200</v>
      </c>
    </row>
    <row r="24" spans="1:46" x14ac:dyDescent="0.3">
      <c r="A24">
        <v>3</v>
      </c>
      <c r="B24" s="5">
        <v>46302.265393518515</v>
      </c>
      <c r="C24" s="5">
        <v>46302.307037037041</v>
      </c>
      <c r="D24">
        <v>174646930</v>
      </c>
      <c r="E24">
        <v>2026</v>
      </c>
      <c r="F24">
        <v>10</v>
      </c>
      <c r="G24">
        <v>7</v>
      </c>
      <c r="H24" s="1" t="s">
        <v>184</v>
      </c>
      <c r="I24" t="s">
        <v>185</v>
      </c>
      <c r="J24" t="s">
        <v>186</v>
      </c>
      <c r="K24" t="s">
        <v>187</v>
      </c>
      <c r="L24" t="s">
        <v>188</v>
      </c>
      <c r="M24" t="s">
        <v>189</v>
      </c>
      <c r="N24" t="s">
        <v>190</v>
      </c>
      <c r="O24" s="6">
        <v>889988.19315900002</v>
      </c>
      <c r="P24" s="6">
        <v>-4.4872573990999998</v>
      </c>
      <c r="Q24" s="6">
        <v>-7.4800089999999999</v>
      </c>
      <c r="R24" s="6">
        <v>7.4800089999999999</v>
      </c>
      <c r="S24">
        <v>13</v>
      </c>
      <c r="T24" t="s">
        <v>191</v>
      </c>
      <c r="U24">
        <v>69</v>
      </c>
      <c r="V24" t="s">
        <v>192</v>
      </c>
      <c r="W24" s="1" t="s">
        <v>203</v>
      </c>
      <c r="X24" s="18">
        <v>0.59989999999999999</v>
      </c>
      <c r="Y24" s="18">
        <v>0.59989999999999999</v>
      </c>
      <c r="Z24" t="s">
        <v>194</v>
      </c>
      <c r="AA24">
        <v>193830</v>
      </c>
      <c r="AB24">
        <v>31127564</v>
      </c>
      <c r="AC24">
        <v>0</v>
      </c>
      <c r="AD24">
        <v>6394368</v>
      </c>
      <c r="AG24">
        <v>20871851</v>
      </c>
      <c r="AJ24">
        <v>192817</v>
      </c>
      <c r="AK24" t="s">
        <v>195</v>
      </c>
      <c r="AL24" t="s">
        <v>204</v>
      </c>
      <c r="AN24" t="s">
        <v>197</v>
      </c>
      <c r="AO24">
        <v>0.57489999999999997</v>
      </c>
      <c r="AP24">
        <v>121.080091</v>
      </c>
      <c r="AQ24" t="s">
        <v>54</v>
      </c>
      <c r="AR24" t="s">
        <v>198</v>
      </c>
      <c r="AS24" t="s">
        <v>199</v>
      </c>
      <c r="AT24" t="s">
        <v>200</v>
      </c>
    </row>
    <row r="25" spans="1:46" x14ac:dyDescent="0.3">
      <c r="A25">
        <v>3</v>
      </c>
      <c r="B25" s="5">
        <v>46302.265659722223</v>
      </c>
      <c r="C25" s="5">
        <v>46302.307314814818</v>
      </c>
      <c r="D25">
        <v>174647047</v>
      </c>
      <c r="E25">
        <v>2026</v>
      </c>
      <c r="F25">
        <v>10</v>
      </c>
      <c r="G25">
        <v>7</v>
      </c>
      <c r="H25" s="1" t="s">
        <v>184</v>
      </c>
      <c r="I25" t="s">
        <v>185</v>
      </c>
      <c r="J25" t="s">
        <v>186</v>
      </c>
      <c r="K25" t="s">
        <v>187</v>
      </c>
      <c r="L25" t="s">
        <v>188</v>
      </c>
      <c r="M25" t="s">
        <v>189</v>
      </c>
      <c r="N25" t="s">
        <v>190</v>
      </c>
      <c r="O25" s="6">
        <v>889980.71314999997</v>
      </c>
      <c r="P25" s="6">
        <v>-4.4719893441999998</v>
      </c>
      <c r="Q25" s="6">
        <v>-7.4545579999999996</v>
      </c>
      <c r="R25" s="6">
        <v>7.4545579999999996</v>
      </c>
      <c r="S25">
        <v>13</v>
      </c>
      <c r="T25" t="s">
        <v>191</v>
      </c>
      <c r="U25">
        <v>69</v>
      </c>
      <c r="V25" t="s">
        <v>192</v>
      </c>
      <c r="W25" s="1" t="s">
        <v>201</v>
      </c>
      <c r="X25" s="18">
        <v>0.59989999999999999</v>
      </c>
      <c r="Y25" s="18">
        <v>0.59989999999999999</v>
      </c>
      <c r="Z25" t="s">
        <v>194</v>
      </c>
      <c r="AA25">
        <v>193830</v>
      </c>
      <c r="AB25">
        <v>31127594</v>
      </c>
      <c r="AC25">
        <v>0</v>
      </c>
      <c r="AD25">
        <v>6394368</v>
      </c>
      <c r="AG25">
        <v>20712950</v>
      </c>
      <c r="AJ25">
        <v>194436</v>
      </c>
      <c r="AK25" t="s">
        <v>195</v>
      </c>
      <c r="AL25" t="s">
        <v>202</v>
      </c>
      <c r="AN25" t="s">
        <v>197</v>
      </c>
      <c r="AO25">
        <v>0.57489999999999997</v>
      </c>
      <c r="AP25">
        <v>121.09409100000001</v>
      </c>
      <c r="AQ25" t="s">
        <v>56</v>
      </c>
      <c r="AR25" t="s">
        <v>198</v>
      </c>
      <c r="AS25" t="s">
        <v>199</v>
      </c>
      <c r="AT25" t="s">
        <v>200</v>
      </c>
    </row>
    <row r="26" spans="1:46" x14ac:dyDescent="0.3">
      <c r="A26">
        <v>3</v>
      </c>
      <c r="B26" s="5">
        <v>46302.266481481478</v>
      </c>
      <c r="C26" s="5">
        <v>46302.308136574073</v>
      </c>
      <c r="D26">
        <v>174647175</v>
      </c>
      <c r="E26">
        <v>2026</v>
      </c>
      <c r="F26">
        <v>10</v>
      </c>
      <c r="G26">
        <v>7</v>
      </c>
      <c r="H26" s="1" t="s">
        <v>184</v>
      </c>
      <c r="I26" t="s">
        <v>185</v>
      </c>
      <c r="J26" t="s">
        <v>186</v>
      </c>
      <c r="K26" t="s">
        <v>187</v>
      </c>
      <c r="L26" t="s">
        <v>188</v>
      </c>
      <c r="M26" t="s">
        <v>189</v>
      </c>
      <c r="N26" t="s">
        <v>190</v>
      </c>
      <c r="O26" s="6">
        <v>889973.258592</v>
      </c>
      <c r="P26" s="6">
        <v>-5.8914037357</v>
      </c>
      <c r="Q26" s="6">
        <v>-9.8206430000000005</v>
      </c>
      <c r="R26" s="6">
        <v>9.8206430000000005</v>
      </c>
      <c r="S26">
        <v>13</v>
      </c>
      <c r="T26" t="s">
        <v>191</v>
      </c>
      <c r="U26">
        <v>69</v>
      </c>
      <c r="V26" t="s">
        <v>192</v>
      </c>
      <c r="W26" s="1" t="s">
        <v>205</v>
      </c>
      <c r="X26" s="18">
        <v>0.59989999999999999</v>
      </c>
      <c r="Y26" s="18">
        <v>0.59989999999999999</v>
      </c>
      <c r="Z26" t="s">
        <v>194</v>
      </c>
      <c r="AA26">
        <v>193830</v>
      </c>
      <c r="AB26">
        <v>31127618</v>
      </c>
      <c r="AC26">
        <v>0</v>
      </c>
      <c r="AD26">
        <v>6394368</v>
      </c>
      <c r="AG26">
        <v>20768074</v>
      </c>
      <c r="AJ26">
        <v>197576</v>
      </c>
      <c r="AK26" t="s">
        <v>195</v>
      </c>
      <c r="AL26" t="s">
        <v>206</v>
      </c>
      <c r="AN26" t="s">
        <v>197</v>
      </c>
      <c r="AO26">
        <v>0.57489999999999997</v>
      </c>
      <c r="AP26">
        <v>120.04309120000001</v>
      </c>
      <c r="AQ26" t="s">
        <v>39</v>
      </c>
      <c r="AR26" t="s">
        <v>198</v>
      </c>
      <c r="AS26" t="s">
        <v>199</v>
      </c>
      <c r="AT26" t="s">
        <v>200</v>
      </c>
    </row>
    <row r="27" spans="1:46" x14ac:dyDescent="0.3">
      <c r="A27">
        <v>3</v>
      </c>
      <c r="B27" s="5">
        <v>46302.266979166663</v>
      </c>
      <c r="C27" s="5">
        <v>46302.308634259258</v>
      </c>
      <c r="D27">
        <v>174647232</v>
      </c>
      <c r="E27">
        <v>2026</v>
      </c>
      <c r="F27">
        <v>10</v>
      </c>
      <c r="G27">
        <v>7</v>
      </c>
      <c r="H27" s="1" t="s">
        <v>184</v>
      </c>
      <c r="I27" t="s">
        <v>185</v>
      </c>
      <c r="J27" t="s">
        <v>186</v>
      </c>
      <c r="K27" t="s">
        <v>187</v>
      </c>
      <c r="L27" t="s">
        <v>188</v>
      </c>
      <c r="M27" t="s">
        <v>189</v>
      </c>
      <c r="N27" t="s">
        <v>190</v>
      </c>
      <c r="O27" s="6">
        <v>889963.43794900004</v>
      </c>
      <c r="P27" s="6">
        <v>-4.4719893441999998</v>
      </c>
      <c r="Q27" s="6">
        <v>-7.4545579999999996</v>
      </c>
      <c r="R27" s="6">
        <v>7.4545579999999996</v>
      </c>
      <c r="S27">
        <v>13</v>
      </c>
      <c r="T27" t="s">
        <v>191</v>
      </c>
      <c r="U27">
        <v>69</v>
      </c>
      <c r="V27" t="s">
        <v>192</v>
      </c>
      <c r="W27" s="1" t="s">
        <v>201</v>
      </c>
      <c r="X27" s="18">
        <v>0.59989999999999999</v>
      </c>
      <c r="Y27" s="18">
        <v>0.59989999999999999</v>
      </c>
      <c r="Z27" t="s">
        <v>194</v>
      </c>
      <c r="AA27">
        <v>193830</v>
      </c>
      <c r="AB27">
        <v>31127626</v>
      </c>
      <c r="AC27">
        <v>0</v>
      </c>
      <c r="AD27">
        <v>6394368</v>
      </c>
      <c r="AG27">
        <v>20712950</v>
      </c>
      <c r="AJ27">
        <v>194436</v>
      </c>
      <c r="AK27" t="s">
        <v>195</v>
      </c>
      <c r="AL27" t="s">
        <v>202</v>
      </c>
      <c r="AN27" t="s">
        <v>197</v>
      </c>
      <c r="AO27">
        <v>0.57489999999999997</v>
      </c>
      <c r="AP27">
        <v>121.09409100000001</v>
      </c>
      <c r="AQ27" t="s">
        <v>56</v>
      </c>
      <c r="AR27" t="s">
        <v>198</v>
      </c>
      <c r="AS27" t="s">
        <v>199</v>
      </c>
      <c r="AT27" t="s">
        <v>200</v>
      </c>
    </row>
    <row r="28" spans="1:46" x14ac:dyDescent="0.3">
      <c r="A28">
        <v>3</v>
      </c>
      <c r="B28" s="5">
        <v>46302.267291666663</v>
      </c>
      <c r="C28" s="5">
        <v>46302.308935185189</v>
      </c>
      <c r="D28">
        <v>174647310</v>
      </c>
      <c r="E28">
        <v>2026</v>
      </c>
      <c r="F28">
        <v>10</v>
      </c>
      <c r="G28">
        <v>7</v>
      </c>
      <c r="H28" s="1" t="s">
        <v>184</v>
      </c>
      <c r="I28" t="s">
        <v>185</v>
      </c>
      <c r="J28" t="s">
        <v>186</v>
      </c>
      <c r="K28" t="s">
        <v>187</v>
      </c>
      <c r="L28" t="s">
        <v>188</v>
      </c>
      <c r="M28" t="s">
        <v>189</v>
      </c>
      <c r="N28" t="s">
        <v>190</v>
      </c>
      <c r="O28" s="6">
        <v>889955.98339099996</v>
      </c>
      <c r="P28" s="6">
        <v>-5.8914037357</v>
      </c>
      <c r="Q28" s="6">
        <v>-9.8206430000000005</v>
      </c>
      <c r="R28" s="6">
        <v>9.8206430000000005</v>
      </c>
      <c r="S28">
        <v>13</v>
      </c>
      <c r="T28" t="s">
        <v>191</v>
      </c>
      <c r="U28">
        <v>69</v>
      </c>
      <c r="V28" t="s">
        <v>192</v>
      </c>
      <c r="W28" s="1" t="s">
        <v>205</v>
      </c>
      <c r="X28" s="18">
        <v>0.59989999999999999</v>
      </c>
      <c r="Y28" s="18">
        <v>0.59989999999999999</v>
      </c>
      <c r="Z28" t="s">
        <v>194</v>
      </c>
      <c r="AA28">
        <v>193830</v>
      </c>
      <c r="AB28">
        <v>31127635</v>
      </c>
      <c r="AC28">
        <v>0</v>
      </c>
      <c r="AD28">
        <v>6394368</v>
      </c>
      <c r="AG28">
        <v>20768074</v>
      </c>
      <c r="AJ28">
        <v>197576</v>
      </c>
      <c r="AK28" t="s">
        <v>195</v>
      </c>
      <c r="AL28" t="s">
        <v>206</v>
      </c>
      <c r="AN28" t="s">
        <v>197</v>
      </c>
      <c r="AO28">
        <v>0.57489999999999997</v>
      </c>
      <c r="AP28">
        <v>120.04309120000001</v>
      </c>
      <c r="AQ28" t="s">
        <v>39</v>
      </c>
      <c r="AR28" t="s">
        <v>198</v>
      </c>
      <c r="AS28" t="s">
        <v>199</v>
      </c>
      <c r="AT28" t="s">
        <v>200</v>
      </c>
    </row>
    <row r="29" spans="1:46" x14ac:dyDescent="0.3">
      <c r="A29">
        <v>3</v>
      </c>
      <c r="B29" s="5">
        <v>46302.268726851849</v>
      </c>
      <c r="C29" s="5">
        <v>46302.310370370367</v>
      </c>
      <c r="D29">
        <v>174647686</v>
      </c>
      <c r="E29">
        <v>2026</v>
      </c>
      <c r="F29">
        <v>10</v>
      </c>
      <c r="G29">
        <v>7</v>
      </c>
      <c r="H29" s="1" t="s">
        <v>184</v>
      </c>
      <c r="I29" t="s">
        <v>185</v>
      </c>
      <c r="J29" t="s">
        <v>186</v>
      </c>
      <c r="K29" t="s">
        <v>187</v>
      </c>
      <c r="L29" t="s">
        <v>188</v>
      </c>
      <c r="M29" t="s">
        <v>189</v>
      </c>
      <c r="N29" t="s">
        <v>190</v>
      </c>
      <c r="O29" s="6">
        <v>889946.162748</v>
      </c>
      <c r="P29" s="6">
        <v>-4.4872573990999998</v>
      </c>
      <c r="Q29" s="6">
        <v>-7.4800089999999999</v>
      </c>
      <c r="R29" s="6">
        <v>7.4800089999999999</v>
      </c>
      <c r="S29">
        <v>13</v>
      </c>
      <c r="T29" t="s">
        <v>191</v>
      </c>
      <c r="U29">
        <v>69</v>
      </c>
      <c r="V29" t="s">
        <v>192</v>
      </c>
      <c r="W29" s="1" t="s">
        <v>203</v>
      </c>
      <c r="X29" s="18">
        <v>0.59989999999999999</v>
      </c>
      <c r="Y29" s="18">
        <v>0.59989999999999999</v>
      </c>
      <c r="Z29" t="s">
        <v>194</v>
      </c>
      <c r="AA29">
        <v>193830</v>
      </c>
      <c r="AB29">
        <v>31127684</v>
      </c>
      <c r="AC29">
        <v>0</v>
      </c>
      <c r="AD29">
        <v>6394368</v>
      </c>
      <c r="AG29">
        <v>20871851</v>
      </c>
      <c r="AJ29">
        <v>192817</v>
      </c>
      <c r="AK29" t="s">
        <v>195</v>
      </c>
      <c r="AL29" t="s">
        <v>204</v>
      </c>
      <c r="AN29" t="s">
        <v>197</v>
      </c>
      <c r="AO29">
        <v>0.57489999999999997</v>
      </c>
      <c r="AP29">
        <v>121.080091</v>
      </c>
      <c r="AQ29" t="s">
        <v>54</v>
      </c>
      <c r="AR29" t="s">
        <v>198</v>
      </c>
      <c r="AS29" t="s">
        <v>199</v>
      </c>
      <c r="AT29" t="s">
        <v>200</v>
      </c>
    </row>
    <row r="30" spans="1:46" x14ac:dyDescent="0.3">
      <c r="A30">
        <v>3</v>
      </c>
      <c r="B30" s="5">
        <v>46302.269733796296</v>
      </c>
      <c r="C30" s="5">
        <v>46302.311377314814</v>
      </c>
      <c r="D30">
        <v>174647897</v>
      </c>
      <c r="E30">
        <v>2026</v>
      </c>
      <c r="F30">
        <v>10</v>
      </c>
      <c r="G30">
        <v>7</v>
      </c>
      <c r="H30" s="1" t="s">
        <v>184</v>
      </c>
      <c r="I30" t="s">
        <v>185</v>
      </c>
      <c r="J30" t="s">
        <v>186</v>
      </c>
      <c r="K30" t="s">
        <v>187</v>
      </c>
      <c r="L30" t="s">
        <v>188</v>
      </c>
      <c r="M30" t="s">
        <v>189</v>
      </c>
      <c r="N30" t="s">
        <v>190</v>
      </c>
      <c r="O30" s="6">
        <v>889938.68273899995</v>
      </c>
      <c r="P30" s="6">
        <v>-4.4872573990999998</v>
      </c>
      <c r="Q30" s="6">
        <v>-7.4800089999999999</v>
      </c>
      <c r="R30" s="6">
        <v>7.4800089999999999</v>
      </c>
      <c r="S30">
        <v>13</v>
      </c>
      <c r="T30" t="s">
        <v>191</v>
      </c>
      <c r="U30">
        <v>69</v>
      </c>
      <c r="V30" t="s">
        <v>192</v>
      </c>
      <c r="W30" s="1" t="s">
        <v>203</v>
      </c>
      <c r="X30" s="18">
        <v>0.59989999999999999</v>
      </c>
      <c r="Y30" s="18">
        <v>0.59989999999999999</v>
      </c>
      <c r="Z30" t="s">
        <v>194</v>
      </c>
      <c r="AA30">
        <v>193830</v>
      </c>
      <c r="AB30">
        <v>31127715</v>
      </c>
      <c r="AC30">
        <v>0</v>
      </c>
      <c r="AD30">
        <v>6394368</v>
      </c>
      <c r="AG30">
        <v>20871851</v>
      </c>
      <c r="AJ30">
        <v>192817</v>
      </c>
      <c r="AK30" t="s">
        <v>195</v>
      </c>
      <c r="AL30" t="s">
        <v>204</v>
      </c>
      <c r="AN30" t="s">
        <v>197</v>
      </c>
      <c r="AO30">
        <v>0.57489999999999997</v>
      </c>
      <c r="AP30">
        <v>121.080091</v>
      </c>
      <c r="AQ30" t="s">
        <v>54</v>
      </c>
      <c r="AR30" t="s">
        <v>198</v>
      </c>
      <c r="AS30" t="s">
        <v>199</v>
      </c>
      <c r="AT30" t="s">
        <v>200</v>
      </c>
    </row>
    <row r="31" spans="1:46" x14ac:dyDescent="0.3">
      <c r="A31">
        <v>3</v>
      </c>
      <c r="B31" s="5">
        <v>46302.271284722221</v>
      </c>
      <c r="C31" s="5">
        <v>46302.312939814816</v>
      </c>
      <c r="D31">
        <v>174648264</v>
      </c>
      <c r="E31">
        <v>2026</v>
      </c>
      <c r="F31">
        <v>10</v>
      </c>
      <c r="G31">
        <v>7</v>
      </c>
      <c r="H31" s="1" t="s">
        <v>184</v>
      </c>
      <c r="I31" t="s">
        <v>185</v>
      </c>
      <c r="J31" t="s">
        <v>186</v>
      </c>
      <c r="K31" t="s">
        <v>187</v>
      </c>
      <c r="L31" t="s">
        <v>188</v>
      </c>
      <c r="M31" t="s">
        <v>189</v>
      </c>
      <c r="N31" t="s">
        <v>190</v>
      </c>
      <c r="O31" s="6">
        <v>889931.20273000002</v>
      </c>
      <c r="P31" s="6">
        <v>-5.8914037357</v>
      </c>
      <c r="Q31" s="6">
        <v>-9.8206430000000005</v>
      </c>
      <c r="R31" s="6">
        <v>9.8206430000000005</v>
      </c>
      <c r="S31">
        <v>13</v>
      </c>
      <c r="T31" t="s">
        <v>191</v>
      </c>
      <c r="U31">
        <v>69</v>
      </c>
      <c r="V31" t="s">
        <v>192</v>
      </c>
      <c r="W31" s="1" t="s">
        <v>205</v>
      </c>
      <c r="X31" s="18">
        <v>0.59989999999999999</v>
      </c>
      <c r="Y31" s="18">
        <v>0.59989999999999999</v>
      </c>
      <c r="Z31" t="s">
        <v>194</v>
      </c>
      <c r="AA31">
        <v>193830</v>
      </c>
      <c r="AB31">
        <v>31127759</v>
      </c>
      <c r="AC31">
        <v>0</v>
      </c>
      <c r="AD31">
        <v>6394368</v>
      </c>
      <c r="AG31">
        <v>20768074</v>
      </c>
      <c r="AJ31">
        <v>197576</v>
      </c>
      <c r="AK31" t="s">
        <v>195</v>
      </c>
      <c r="AL31" t="s">
        <v>206</v>
      </c>
      <c r="AN31" t="s">
        <v>197</v>
      </c>
      <c r="AO31">
        <v>0.57489999999999997</v>
      </c>
      <c r="AP31">
        <v>120.04309120000001</v>
      </c>
      <c r="AQ31" t="s">
        <v>39</v>
      </c>
      <c r="AR31" t="s">
        <v>198</v>
      </c>
      <c r="AS31" t="s">
        <v>199</v>
      </c>
      <c r="AT31" t="s">
        <v>200</v>
      </c>
    </row>
    <row r="32" spans="1:46" x14ac:dyDescent="0.3">
      <c r="A32">
        <v>3</v>
      </c>
      <c r="B32" s="5">
        <v>46302.271458333336</v>
      </c>
      <c r="C32" s="5">
        <v>46302.313113425924</v>
      </c>
      <c r="D32">
        <v>174648315</v>
      </c>
      <c r="E32">
        <v>2026</v>
      </c>
      <c r="F32">
        <v>10</v>
      </c>
      <c r="G32">
        <v>7</v>
      </c>
      <c r="H32" s="1" t="s">
        <v>184</v>
      </c>
      <c r="I32" t="s">
        <v>185</v>
      </c>
      <c r="J32" t="s">
        <v>186</v>
      </c>
      <c r="K32" t="s">
        <v>187</v>
      </c>
      <c r="L32" t="s">
        <v>188</v>
      </c>
      <c r="M32" t="s">
        <v>189</v>
      </c>
      <c r="N32" t="s">
        <v>190</v>
      </c>
      <c r="O32" s="6">
        <v>889921.38208699995</v>
      </c>
      <c r="P32" s="6">
        <v>-4.4719893441999998</v>
      </c>
      <c r="Q32" s="6">
        <v>-7.4545579999999996</v>
      </c>
      <c r="R32" s="6">
        <v>7.4545579999999996</v>
      </c>
      <c r="S32">
        <v>13</v>
      </c>
      <c r="T32" t="s">
        <v>191</v>
      </c>
      <c r="U32">
        <v>69</v>
      </c>
      <c r="V32" t="s">
        <v>192</v>
      </c>
      <c r="W32" s="1" t="s">
        <v>201</v>
      </c>
      <c r="X32" s="18">
        <v>0.59989999999999999</v>
      </c>
      <c r="Y32" s="18">
        <v>0.59989999999999999</v>
      </c>
      <c r="Z32" t="s">
        <v>194</v>
      </c>
      <c r="AA32">
        <v>193830</v>
      </c>
      <c r="AB32">
        <v>31127763</v>
      </c>
      <c r="AC32">
        <v>0</v>
      </c>
      <c r="AD32">
        <v>6394368</v>
      </c>
      <c r="AG32">
        <v>20712950</v>
      </c>
      <c r="AJ32">
        <v>194436</v>
      </c>
      <c r="AK32" t="s">
        <v>195</v>
      </c>
      <c r="AL32" t="s">
        <v>202</v>
      </c>
      <c r="AN32" t="s">
        <v>197</v>
      </c>
      <c r="AO32">
        <v>0.57489999999999997</v>
      </c>
      <c r="AP32">
        <v>121.09409100000001</v>
      </c>
      <c r="AQ32" t="s">
        <v>56</v>
      </c>
      <c r="AR32" t="s">
        <v>198</v>
      </c>
      <c r="AS32" t="s">
        <v>199</v>
      </c>
      <c r="AT32" t="s">
        <v>200</v>
      </c>
    </row>
    <row r="33" spans="1:46" x14ac:dyDescent="0.3">
      <c r="A33">
        <v>3</v>
      </c>
      <c r="B33" s="5">
        <v>46302.272164351853</v>
      </c>
      <c r="C33" s="5">
        <v>46302.313807870371</v>
      </c>
      <c r="D33">
        <v>174648340</v>
      </c>
      <c r="E33">
        <v>2026</v>
      </c>
      <c r="F33">
        <v>10</v>
      </c>
      <c r="G33">
        <v>7</v>
      </c>
      <c r="H33" s="1" t="s">
        <v>184</v>
      </c>
      <c r="I33" t="s">
        <v>185</v>
      </c>
      <c r="J33" t="s">
        <v>186</v>
      </c>
      <c r="K33" t="s">
        <v>187</v>
      </c>
      <c r="L33" t="s">
        <v>188</v>
      </c>
      <c r="M33" t="s">
        <v>189</v>
      </c>
      <c r="N33" t="s">
        <v>190</v>
      </c>
      <c r="O33" s="6">
        <v>889913.92752899998</v>
      </c>
      <c r="P33" s="6">
        <v>-4.4872573990999998</v>
      </c>
      <c r="Q33" s="6">
        <v>-7.4800089999999999</v>
      </c>
      <c r="R33" s="6">
        <v>7.4800089999999999</v>
      </c>
      <c r="S33">
        <v>13</v>
      </c>
      <c r="T33" t="s">
        <v>191</v>
      </c>
      <c r="U33">
        <v>69</v>
      </c>
      <c r="V33" t="s">
        <v>192</v>
      </c>
      <c r="W33" s="1" t="s">
        <v>203</v>
      </c>
      <c r="X33" s="18">
        <v>0.59989999999999999</v>
      </c>
      <c r="Y33" s="18">
        <v>0.59989999999999999</v>
      </c>
      <c r="Z33" t="s">
        <v>194</v>
      </c>
      <c r="AA33">
        <v>193830</v>
      </c>
      <c r="AB33">
        <v>31127771</v>
      </c>
      <c r="AC33">
        <v>0</v>
      </c>
      <c r="AD33">
        <v>6394368</v>
      </c>
      <c r="AG33">
        <v>20871851</v>
      </c>
      <c r="AJ33">
        <v>192817</v>
      </c>
      <c r="AK33" t="s">
        <v>195</v>
      </c>
      <c r="AL33" t="s">
        <v>204</v>
      </c>
      <c r="AN33" t="s">
        <v>197</v>
      </c>
      <c r="AO33">
        <v>0.57489999999999997</v>
      </c>
      <c r="AP33">
        <v>121.080091</v>
      </c>
      <c r="AQ33" t="s">
        <v>54</v>
      </c>
      <c r="AR33" t="s">
        <v>198</v>
      </c>
      <c r="AS33" t="s">
        <v>199</v>
      </c>
      <c r="AT33" t="s">
        <v>200</v>
      </c>
    </row>
    <row r="34" spans="1:46" x14ac:dyDescent="0.3">
      <c r="A34">
        <v>3</v>
      </c>
      <c r="B34" s="5">
        <v>46302.273240740738</v>
      </c>
      <c r="C34" s="5">
        <v>46302.314884259256</v>
      </c>
      <c r="D34">
        <v>174648627</v>
      </c>
      <c r="E34">
        <v>2026</v>
      </c>
      <c r="F34">
        <v>10</v>
      </c>
      <c r="G34">
        <v>7</v>
      </c>
      <c r="H34" s="1" t="s">
        <v>184</v>
      </c>
      <c r="I34" t="s">
        <v>185</v>
      </c>
      <c r="J34" t="s">
        <v>186</v>
      </c>
      <c r="K34" t="s">
        <v>187</v>
      </c>
      <c r="L34" t="s">
        <v>188</v>
      </c>
      <c r="M34" t="s">
        <v>189</v>
      </c>
      <c r="N34" t="s">
        <v>190</v>
      </c>
      <c r="O34" s="6">
        <v>889906.44752000005</v>
      </c>
      <c r="P34" s="6">
        <v>-4.4872573990999998</v>
      </c>
      <c r="Q34" s="6">
        <v>-7.4800089999999999</v>
      </c>
      <c r="R34" s="6">
        <v>7.4800089999999999</v>
      </c>
      <c r="S34">
        <v>13</v>
      </c>
      <c r="T34" t="s">
        <v>191</v>
      </c>
      <c r="U34">
        <v>69</v>
      </c>
      <c r="V34" t="s">
        <v>192</v>
      </c>
      <c r="W34" s="1" t="s">
        <v>203</v>
      </c>
      <c r="X34" s="18">
        <v>0.59989999999999999</v>
      </c>
      <c r="Y34" s="18">
        <v>0.59989999999999999</v>
      </c>
      <c r="Z34" t="s">
        <v>194</v>
      </c>
      <c r="AA34">
        <v>193830</v>
      </c>
      <c r="AB34">
        <v>31127815</v>
      </c>
      <c r="AC34">
        <v>0</v>
      </c>
      <c r="AD34">
        <v>6394368</v>
      </c>
      <c r="AG34">
        <v>20871851</v>
      </c>
      <c r="AJ34">
        <v>192817</v>
      </c>
      <c r="AK34" t="s">
        <v>195</v>
      </c>
      <c r="AL34" t="s">
        <v>204</v>
      </c>
      <c r="AN34" t="s">
        <v>197</v>
      </c>
      <c r="AO34">
        <v>0.57489999999999997</v>
      </c>
      <c r="AP34">
        <v>121.080091</v>
      </c>
      <c r="AQ34" t="s">
        <v>54</v>
      </c>
      <c r="AR34" t="s">
        <v>198</v>
      </c>
      <c r="AS34" t="s">
        <v>199</v>
      </c>
      <c r="AT34" t="s">
        <v>200</v>
      </c>
    </row>
    <row r="35" spans="1:46" x14ac:dyDescent="0.3">
      <c r="A35">
        <v>3</v>
      </c>
      <c r="B35" s="5">
        <v>46302.273402777777</v>
      </c>
      <c r="C35" s="5">
        <v>46302.315069444441</v>
      </c>
      <c r="D35">
        <v>174648659</v>
      </c>
      <c r="E35">
        <v>2026</v>
      </c>
      <c r="F35">
        <v>10</v>
      </c>
      <c r="G35">
        <v>7</v>
      </c>
      <c r="H35" s="1" t="s">
        <v>184</v>
      </c>
      <c r="I35" t="s">
        <v>185</v>
      </c>
      <c r="J35" t="s">
        <v>186</v>
      </c>
      <c r="K35" t="s">
        <v>187</v>
      </c>
      <c r="L35" t="s">
        <v>207</v>
      </c>
      <c r="M35" t="s">
        <v>208</v>
      </c>
      <c r="N35" t="s">
        <v>190</v>
      </c>
      <c r="O35" s="6">
        <v>889898.967511</v>
      </c>
      <c r="P35" s="6">
        <v>-9334.4439999999995</v>
      </c>
      <c r="Q35" s="6">
        <v>-15560</v>
      </c>
      <c r="R35" s="6">
        <v>15560</v>
      </c>
      <c r="S35">
        <v>3</v>
      </c>
      <c r="T35" t="s">
        <v>209</v>
      </c>
      <c r="U35">
        <v>69</v>
      </c>
      <c r="V35" t="s">
        <v>192</v>
      </c>
      <c r="W35" s="1"/>
      <c r="X35" s="18">
        <v>0.59989999999999999</v>
      </c>
      <c r="Y35" s="18">
        <v>0.59989999999999999</v>
      </c>
      <c r="AA35">
        <v>193830</v>
      </c>
      <c r="AB35">
        <v>31127818</v>
      </c>
      <c r="AC35">
        <v>0</v>
      </c>
      <c r="AD35">
        <v>5799567</v>
      </c>
      <c r="AK35" t="s">
        <v>210</v>
      </c>
      <c r="AN35" t="s">
        <v>211</v>
      </c>
      <c r="AO35">
        <v>0.76990000000000003</v>
      </c>
    </row>
    <row r="36" spans="1:46" x14ac:dyDescent="0.3">
      <c r="A36">
        <v>3</v>
      </c>
      <c r="B36" s="5">
        <v>46302.273414351854</v>
      </c>
      <c r="C36" s="5">
        <v>46302.315069444441</v>
      </c>
      <c r="D36">
        <v>174648660</v>
      </c>
      <c r="E36">
        <v>2026</v>
      </c>
      <c r="F36">
        <v>10</v>
      </c>
      <c r="G36">
        <v>7</v>
      </c>
      <c r="H36" s="1" t="s">
        <v>184</v>
      </c>
      <c r="I36" t="s">
        <v>185</v>
      </c>
      <c r="J36" t="s">
        <v>186</v>
      </c>
      <c r="K36" t="s">
        <v>187</v>
      </c>
      <c r="L36" t="s">
        <v>212</v>
      </c>
      <c r="M36" t="s">
        <v>189</v>
      </c>
      <c r="N36" t="s">
        <v>213</v>
      </c>
      <c r="O36" s="6">
        <v>874338.967511</v>
      </c>
      <c r="P36" s="6">
        <v>9334.4439999999995</v>
      </c>
      <c r="Q36" s="6">
        <v>15560</v>
      </c>
      <c r="R36" s="6">
        <v>15560</v>
      </c>
      <c r="S36">
        <v>3</v>
      </c>
      <c r="T36" t="s">
        <v>209</v>
      </c>
      <c r="U36">
        <v>69</v>
      </c>
      <c r="V36" t="s">
        <v>192</v>
      </c>
      <c r="W36" s="1"/>
      <c r="X36" s="18">
        <v>0.59989999999999999</v>
      </c>
      <c r="Y36" s="18">
        <v>0.59989999999999999</v>
      </c>
      <c r="AA36">
        <v>193830</v>
      </c>
      <c r="AB36">
        <v>31127818</v>
      </c>
      <c r="AC36">
        <v>0</v>
      </c>
      <c r="AD36">
        <v>6594324</v>
      </c>
      <c r="AK36" t="s">
        <v>210</v>
      </c>
      <c r="AN36" t="s">
        <v>211</v>
      </c>
      <c r="AO36">
        <v>0.76990000000000003</v>
      </c>
    </row>
    <row r="37" spans="1:46" x14ac:dyDescent="0.3">
      <c r="A37">
        <v>3</v>
      </c>
      <c r="B37" s="5">
        <v>46302.274826388886</v>
      </c>
      <c r="C37" s="5">
        <v>46302.316481481481</v>
      </c>
      <c r="D37">
        <v>174648959</v>
      </c>
      <c r="E37">
        <v>2026</v>
      </c>
      <c r="F37">
        <v>10</v>
      </c>
      <c r="G37">
        <v>7</v>
      </c>
      <c r="H37" s="1" t="s">
        <v>184</v>
      </c>
      <c r="I37" t="s">
        <v>185</v>
      </c>
      <c r="J37" t="s">
        <v>186</v>
      </c>
      <c r="K37" t="s">
        <v>187</v>
      </c>
      <c r="L37" t="s">
        <v>188</v>
      </c>
      <c r="M37" t="s">
        <v>189</v>
      </c>
      <c r="N37" t="s">
        <v>190</v>
      </c>
      <c r="O37" s="6">
        <v>889898.967511</v>
      </c>
      <c r="P37" s="6">
        <v>-5.8914037357</v>
      </c>
      <c r="Q37" s="6">
        <v>-9.8206430000000005</v>
      </c>
      <c r="R37" s="6">
        <v>9.8206430000000005</v>
      </c>
      <c r="S37">
        <v>13</v>
      </c>
      <c r="T37" t="s">
        <v>191</v>
      </c>
      <c r="U37">
        <v>69</v>
      </c>
      <c r="V37" t="s">
        <v>192</v>
      </c>
      <c r="W37" s="1" t="s">
        <v>205</v>
      </c>
      <c r="X37" s="18">
        <v>0.59989999999999999</v>
      </c>
      <c r="Y37" s="18">
        <v>0.59989999999999999</v>
      </c>
      <c r="Z37" t="s">
        <v>194</v>
      </c>
      <c r="AA37">
        <v>193830</v>
      </c>
      <c r="AB37">
        <v>31127864</v>
      </c>
      <c r="AC37">
        <v>0</v>
      </c>
      <c r="AD37">
        <v>6394368</v>
      </c>
      <c r="AG37">
        <v>20768074</v>
      </c>
      <c r="AJ37">
        <v>197576</v>
      </c>
      <c r="AK37" t="s">
        <v>195</v>
      </c>
      <c r="AL37" t="s">
        <v>206</v>
      </c>
      <c r="AN37" t="s">
        <v>197</v>
      </c>
      <c r="AO37">
        <v>0.57489999999999997</v>
      </c>
      <c r="AP37">
        <v>120.04309120000001</v>
      </c>
      <c r="AQ37" t="s">
        <v>39</v>
      </c>
      <c r="AR37" t="s">
        <v>198</v>
      </c>
      <c r="AS37" t="s">
        <v>199</v>
      </c>
      <c r="AT37" t="s">
        <v>200</v>
      </c>
    </row>
    <row r="38" spans="1:46" x14ac:dyDescent="0.3">
      <c r="A38">
        <v>3</v>
      </c>
      <c r="B38" s="5">
        <v>46302.275787037041</v>
      </c>
      <c r="C38" s="5">
        <v>46302.317442129628</v>
      </c>
      <c r="D38">
        <v>174649092</v>
      </c>
      <c r="E38">
        <v>2026</v>
      </c>
      <c r="F38">
        <v>10</v>
      </c>
      <c r="G38">
        <v>7</v>
      </c>
      <c r="H38" s="1" t="s">
        <v>184</v>
      </c>
      <c r="I38" t="s">
        <v>185</v>
      </c>
      <c r="J38" t="s">
        <v>186</v>
      </c>
      <c r="K38" t="s">
        <v>187</v>
      </c>
      <c r="L38" t="s">
        <v>188</v>
      </c>
      <c r="M38" t="s">
        <v>189</v>
      </c>
      <c r="N38" t="s">
        <v>190</v>
      </c>
      <c r="O38" s="6">
        <v>889889.14686800004</v>
      </c>
      <c r="P38" s="6">
        <v>-4.4719893441999998</v>
      </c>
      <c r="Q38" s="6">
        <v>-7.4545579999999996</v>
      </c>
      <c r="R38" s="6">
        <v>7.4545579999999996</v>
      </c>
      <c r="S38">
        <v>13</v>
      </c>
      <c r="T38" t="s">
        <v>191</v>
      </c>
      <c r="U38">
        <v>69</v>
      </c>
      <c r="V38" t="s">
        <v>192</v>
      </c>
      <c r="W38" s="1" t="s">
        <v>201</v>
      </c>
      <c r="X38" s="18">
        <v>0.59989999999999999</v>
      </c>
      <c r="Y38" s="18">
        <v>0.59989999999999999</v>
      </c>
      <c r="Z38" t="s">
        <v>194</v>
      </c>
      <c r="AA38">
        <v>193830</v>
      </c>
      <c r="AB38">
        <v>31127880</v>
      </c>
      <c r="AC38">
        <v>0</v>
      </c>
      <c r="AD38">
        <v>6394368</v>
      </c>
      <c r="AG38">
        <v>20712950</v>
      </c>
      <c r="AJ38">
        <v>194436</v>
      </c>
      <c r="AK38" t="s">
        <v>195</v>
      </c>
      <c r="AL38" t="s">
        <v>202</v>
      </c>
      <c r="AN38" t="s">
        <v>197</v>
      </c>
      <c r="AO38">
        <v>0.57489999999999997</v>
      </c>
      <c r="AP38">
        <v>121.09409100000001</v>
      </c>
      <c r="AQ38" t="s">
        <v>56</v>
      </c>
      <c r="AR38" t="s">
        <v>198</v>
      </c>
      <c r="AS38" t="s">
        <v>199</v>
      </c>
      <c r="AT38" t="s">
        <v>200</v>
      </c>
    </row>
    <row r="39" spans="1:46" x14ac:dyDescent="0.3">
      <c r="A39">
        <v>3</v>
      </c>
      <c r="B39" s="5">
        <v>46302.275960648149</v>
      </c>
      <c r="C39" s="5">
        <v>46302.317604166667</v>
      </c>
      <c r="D39">
        <v>174649119</v>
      </c>
      <c r="E39">
        <v>2026</v>
      </c>
      <c r="F39">
        <v>10</v>
      </c>
      <c r="G39">
        <v>7</v>
      </c>
      <c r="H39" s="1" t="s">
        <v>184</v>
      </c>
      <c r="I39" t="s">
        <v>185</v>
      </c>
      <c r="J39" t="s">
        <v>186</v>
      </c>
      <c r="K39" t="s">
        <v>187</v>
      </c>
      <c r="L39" t="s">
        <v>188</v>
      </c>
      <c r="M39" t="s">
        <v>189</v>
      </c>
      <c r="N39" t="s">
        <v>190</v>
      </c>
      <c r="O39" s="6">
        <v>889881.69230999995</v>
      </c>
      <c r="P39" s="6">
        <v>-4.4872573990999998</v>
      </c>
      <c r="Q39" s="6">
        <v>-7.4800089999999999</v>
      </c>
      <c r="R39" s="6">
        <v>7.4800089999999999</v>
      </c>
      <c r="S39">
        <v>13</v>
      </c>
      <c r="T39" t="s">
        <v>191</v>
      </c>
      <c r="U39">
        <v>69</v>
      </c>
      <c r="V39" t="s">
        <v>192</v>
      </c>
      <c r="W39" s="1" t="s">
        <v>203</v>
      </c>
      <c r="X39" s="18">
        <v>0.59989999999999999</v>
      </c>
      <c r="Y39" s="18">
        <v>0.59989999999999999</v>
      </c>
      <c r="Z39" t="s">
        <v>194</v>
      </c>
      <c r="AA39">
        <v>193830</v>
      </c>
      <c r="AB39">
        <v>31127886</v>
      </c>
      <c r="AC39">
        <v>0</v>
      </c>
      <c r="AD39">
        <v>6394368</v>
      </c>
      <c r="AG39">
        <v>20871851</v>
      </c>
      <c r="AJ39">
        <v>192817</v>
      </c>
      <c r="AK39" t="s">
        <v>195</v>
      </c>
      <c r="AL39" t="s">
        <v>204</v>
      </c>
      <c r="AN39" t="s">
        <v>197</v>
      </c>
      <c r="AO39">
        <v>0.57489999999999997</v>
      </c>
      <c r="AP39">
        <v>121.080091</v>
      </c>
      <c r="AQ39" t="s">
        <v>54</v>
      </c>
      <c r="AR39" t="s">
        <v>198</v>
      </c>
      <c r="AS39" t="s">
        <v>199</v>
      </c>
      <c r="AT39" t="s">
        <v>200</v>
      </c>
    </row>
    <row r="40" spans="1:46" x14ac:dyDescent="0.3">
      <c r="A40">
        <v>3</v>
      </c>
      <c r="B40" s="5">
        <v>46302.276817129627</v>
      </c>
      <c r="C40" s="5">
        <v>46302.318460648145</v>
      </c>
      <c r="D40">
        <v>174649286</v>
      </c>
      <c r="E40">
        <v>2026</v>
      </c>
      <c r="F40">
        <v>10</v>
      </c>
      <c r="G40">
        <v>7</v>
      </c>
      <c r="H40" s="1" t="s">
        <v>184</v>
      </c>
      <c r="I40" t="s">
        <v>185</v>
      </c>
      <c r="J40" t="s">
        <v>186</v>
      </c>
      <c r="K40" t="s">
        <v>187</v>
      </c>
      <c r="L40" t="s">
        <v>188</v>
      </c>
      <c r="M40" t="s">
        <v>189</v>
      </c>
      <c r="N40" t="s">
        <v>190</v>
      </c>
      <c r="O40" s="6">
        <v>889874.21230100002</v>
      </c>
      <c r="P40" s="6">
        <v>-4.4872573990999998</v>
      </c>
      <c r="Q40" s="6">
        <v>-7.4800089999999999</v>
      </c>
      <c r="R40" s="6">
        <v>7.4800089999999999</v>
      </c>
      <c r="S40">
        <v>13</v>
      </c>
      <c r="T40" t="s">
        <v>191</v>
      </c>
      <c r="U40">
        <v>69</v>
      </c>
      <c r="V40" t="s">
        <v>192</v>
      </c>
      <c r="W40" s="1" t="s">
        <v>203</v>
      </c>
      <c r="X40" s="18">
        <v>0.59989999999999999</v>
      </c>
      <c r="Y40" s="18">
        <v>0.59989999999999999</v>
      </c>
      <c r="Z40" t="s">
        <v>194</v>
      </c>
      <c r="AA40">
        <v>193830</v>
      </c>
      <c r="AB40">
        <v>31127911</v>
      </c>
      <c r="AC40">
        <v>0</v>
      </c>
      <c r="AD40">
        <v>6394368</v>
      </c>
      <c r="AG40">
        <v>20871851</v>
      </c>
      <c r="AJ40">
        <v>192817</v>
      </c>
      <c r="AK40" t="s">
        <v>195</v>
      </c>
      <c r="AL40" t="s">
        <v>204</v>
      </c>
      <c r="AN40" t="s">
        <v>197</v>
      </c>
      <c r="AO40">
        <v>0.57489999999999997</v>
      </c>
      <c r="AP40">
        <v>121.080091</v>
      </c>
      <c r="AQ40" t="s">
        <v>54</v>
      </c>
      <c r="AR40" t="s">
        <v>198</v>
      </c>
      <c r="AS40" t="s">
        <v>199</v>
      </c>
      <c r="AT40" t="s">
        <v>200</v>
      </c>
    </row>
    <row r="41" spans="1:46" x14ac:dyDescent="0.3">
      <c r="A41">
        <v>3</v>
      </c>
      <c r="B41" s="5">
        <v>46302.277928240743</v>
      </c>
      <c r="C41" s="5">
        <v>46302.31958333333</v>
      </c>
      <c r="D41">
        <v>174649543</v>
      </c>
      <c r="E41">
        <v>2026</v>
      </c>
      <c r="F41">
        <v>10</v>
      </c>
      <c r="G41">
        <v>7</v>
      </c>
      <c r="H41" s="1" t="s">
        <v>184</v>
      </c>
      <c r="I41" t="s">
        <v>185</v>
      </c>
      <c r="J41" t="s">
        <v>186</v>
      </c>
      <c r="K41" t="s">
        <v>187</v>
      </c>
      <c r="L41" t="s">
        <v>188</v>
      </c>
      <c r="M41" t="s">
        <v>189</v>
      </c>
      <c r="N41" t="s">
        <v>190</v>
      </c>
      <c r="O41" s="6">
        <v>889866.73229199997</v>
      </c>
      <c r="P41" s="6">
        <v>-4.4872573990999998</v>
      </c>
      <c r="Q41" s="6">
        <v>-7.4800089999999999</v>
      </c>
      <c r="R41" s="6">
        <v>7.4800089999999999</v>
      </c>
      <c r="S41">
        <v>13</v>
      </c>
      <c r="T41" t="s">
        <v>191</v>
      </c>
      <c r="U41">
        <v>69</v>
      </c>
      <c r="V41" t="s">
        <v>192</v>
      </c>
      <c r="W41" s="1" t="s">
        <v>203</v>
      </c>
      <c r="X41" s="18">
        <v>0.59989999999999999</v>
      </c>
      <c r="Y41" s="18">
        <v>0.59989999999999999</v>
      </c>
      <c r="Z41" t="s">
        <v>194</v>
      </c>
      <c r="AA41">
        <v>193830</v>
      </c>
      <c r="AB41">
        <v>31127940</v>
      </c>
      <c r="AC41">
        <v>0</v>
      </c>
      <c r="AD41">
        <v>6394368</v>
      </c>
      <c r="AG41">
        <v>20871851</v>
      </c>
      <c r="AJ41">
        <v>192817</v>
      </c>
      <c r="AK41" t="s">
        <v>195</v>
      </c>
      <c r="AL41" t="s">
        <v>204</v>
      </c>
      <c r="AN41" t="s">
        <v>197</v>
      </c>
      <c r="AO41">
        <v>0.57489999999999997</v>
      </c>
      <c r="AP41">
        <v>121.080091</v>
      </c>
      <c r="AQ41" t="s">
        <v>54</v>
      </c>
      <c r="AR41" t="s">
        <v>198</v>
      </c>
      <c r="AS41" t="s">
        <v>199</v>
      </c>
      <c r="AT41" t="s">
        <v>200</v>
      </c>
    </row>
    <row r="42" spans="1:46" x14ac:dyDescent="0.3">
      <c r="A42">
        <v>3</v>
      </c>
      <c r="B42" s="5">
        <v>46302.279479166667</v>
      </c>
      <c r="C42" s="5">
        <v>46302.321122685185</v>
      </c>
      <c r="D42">
        <v>174649871</v>
      </c>
      <c r="E42">
        <v>2026</v>
      </c>
      <c r="F42">
        <v>10</v>
      </c>
      <c r="G42">
        <v>7</v>
      </c>
      <c r="H42" s="1" t="s">
        <v>184</v>
      </c>
      <c r="I42" t="s">
        <v>185</v>
      </c>
      <c r="J42" t="s">
        <v>186</v>
      </c>
      <c r="K42" t="s">
        <v>187</v>
      </c>
      <c r="L42" t="s">
        <v>188</v>
      </c>
      <c r="M42" t="s">
        <v>189</v>
      </c>
      <c r="N42" t="s">
        <v>190</v>
      </c>
      <c r="O42" s="6">
        <v>889859.25228300004</v>
      </c>
      <c r="P42" s="6">
        <v>-4.4719893441999998</v>
      </c>
      <c r="Q42" s="6">
        <v>-7.4545579999999996</v>
      </c>
      <c r="R42" s="6">
        <v>7.4545579999999996</v>
      </c>
      <c r="S42">
        <v>13</v>
      </c>
      <c r="T42" t="s">
        <v>191</v>
      </c>
      <c r="U42">
        <v>69</v>
      </c>
      <c r="V42" t="s">
        <v>192</v>
      </c>
      <c r="W42" s="1" t="s">
        <v>201</v>
      </c>
      <c r="X42" s="18">
        <v>0.59989999999999999</v>
      </c>
      <c r="Y42" s="18">
        <v>0.59989999999999999</v>
      </c>
      <c r="Z42" t="s">
        <v>194</v>
      </c>
      <c r="AA42">
        <v>193830</v>
      </c>
      <c r="AB42">
        <v>31128007</v>
      </c>
      <c r="AC42">
        <v>0</v>
      </c>
      <c r="AD42">
        <v>6394368</v>
      </c>
      <c r="AG42">
        <v>20712950</v>
      </c>
      <c r="AJ42">
        <v>194436</v>
      </c>
      <c r="AK42" t="s">
        <v>195</v>
      </c>
      <c r="AL42" t="s">
        <v>202</v>
      </c>
      <c r="AN42" t="s">
        <v>197</v>
      </c>
      <c r="AO42">
        <v>0.57489999999999997</v>
      </c>
      <c r="AP42">
        <v>121.09409100000001</v>
      </c>
      <c r="AQ42" t="s">
        <v>56</v>
      </c>
      <c r="AR42" t="s">
        <v>198</v>
      </c>
      <c r="AS42" t="s">
        <v>199</v>
      </c>
      <c r="AT42" t="s">
        <v>200</v>
      </c>
    </row>
    <row r="43" spans="1:46" x14ac:dyDescent="0.3">
      <c r="A43">
        <v>3</v>
      </c>
      <c r="B43" s="5">
        <v>46302.279502314814</v>
      </c>
      <c r="C43" s="5">
        <v>46302.321157407408</v>
      </c>
      <c r="D43">
        <v>174649898</v>
      </c>
      <c r="E43">
        <v>2026</v>
      </c>
      <c r="F43">
        <v>10</v>
      </c>
      <c r="G43">
        <v>7</v>
      </c>
      <c r="H43" s="1" t="s">
        <v>184</v>
      </c>
      <c r="I43" t="s">
        <v>185</v>
      </c>
      <c r="J43" t="s">
        <v>186</v>
      </c>
      <c r="K43" t="s">
        <v>187</v>
      </c>
      <c r="L43" t="s">
        <v>188</v>
      </c>
      <c r="M43" t="s">
        <v>189</v>
      </c>
      <c r="N43" t="s">
        <v>190</v>
      </c>
      <c r="O43" s="6">
        <v>889851.79772499995</v>
      </c>
      <c r="P43" s="6">
        <v>-5.8914037357</v>
      </c>
      <c r="Q43" s="6">
        <v>-9.8206430000000005</v>
      </c>
      <c r="R43" s="6">
        <v>9.8206430000000005</v>
      </c>
      <c r="S43">
        <v>13</v>
      </c>
      <c r="T43" t="s">
        <v>191</v>
      </c>
      <c r="U43">
        <v>69</v>
      </c>
      <c r="V43" t="s">
        <v>192</v>
      </c>
      <c r="W43" s="1" t="s">
        <v>205</v>
      </c>
      <c r="X43" s="18">
        <v>0.59989999999999999</v>
      </c>
      <c r="Y43" s="18">
        <v>0.59989999999999999</v>
      </c>
      <c r="Z43" t="s">
        <v>194</v>
      </c>
      <c r="AA43">
        <v>193830</v>
      </c>
      <c r="AB43">
        <v>31128009</v>
      </c>
      <c r="AC43">
        <v>0</v>
      </c>
      <c r="AD43">
        <v>6394368</v>
      </c>
      <c r="AG43">
        <v>20768074</v>
      </c>
      <c r="AJ43">
        <v>197576</v>
      </c>
      <c r="AK43" t="s">
        <v>195</v>
      </c>
      <c r="AL43" t="s">
        <v>206</v>
      </c>
      <c r="AN43" t="s">
        <v>197</v>
      </c>
      <c r="AO43">
        <v>0.57489999999999997</v>
      </c>
      <c r="AP43">
        <v>120.04309120000001</v>
      </c>
      <c r="AQ43" t="s">
        <v>39</v>
      </c>
      <c r="AR43" t="s">
        <v>198</v>
      </c>
      <c r="AS43" t="s">
        <v>199</v>
      </c>
      <c r="AT43" t="s">
        <v>200</v>
      </c>
    </row>
    <row r="44" spans="1:46" x14ac:dyDescent="0.3">
      <c r="A44">
        <v>3</v>
      </c>
      <c r="B44" s="5">
        <v>46302.28019675926</v>
      </c>
      <c r="C44" s="5">
        <v>46302.321851851855</v>
      </c>
      <c r="D44">
        <v>174649987</v>
      </c>
      <c r="E44">
        <v>2026</v>
      </c>
      <c r="F44">
        <v>10</v>
      </c>
      <c r="G44">
        <v>7</v>
      </c>
      <c r="H44" s="1" t="s">
        <v>184</v>
      </c>
      <c r="I44" t="s">
        <v>185</v>
      </c>
      <c r="J44" t="s">
        <v>186</v>
      </c>
      <c r="K44" t="s">
        <v>187</v>
      </c>
      <c r="L44" t="s">
        <v>188</v>
      </c>
      <c r="M44" t="s">
        <v>189</v>
      </c>
      <c r="N44" t="s">
        <v>190</v>
      </c>
      <c r="O44" s="6">
        <v>889841.977082</v>
      </c>
      <c r="P44" s="6">
        <v>-4.4719893441999998</v>
      </c>
      <c r="Q44" s="6">
        <v>-7.4545579999999996</v>
      </c>
      <c r="R44" s="6">
        <v>7.4545579999999996</v>
      </c>
      <c r="S44">
        <v>13</v>
      </c>
      <c r="T44" t="s">
        <v>191</v>
      </c>
      <c r="U44">
        <v>69</v>
      </c>
      <c r="V44" t="s">
        <v>192</v>
      </c>
      <c r="W44" s="1" t="s">
        <v>201</v>
      </c>
      <c r="X44" s="18">
        <v>0.59989999999999999</v>
      </c>
      <c r="Y44" s="18">
        <v>0.59989999999999999</v>
      </c>
      <c r="Z44" t="s">
        <v>194</v>
      </c>
      <c r="AA44">
        <v>193830</v>
      </c>
      <c r="AB44">
        <v>31128026</v>
      </c>
      <c r="AC44">
        <v>0</v>
      </c>
      <c r="AD44">
        <v>6394368</v>
      </c>
      <c r="AG44">
        <v>20712950</v>
      </c>
      <c r="AJ44">
        <v>194436</v>
      </c>
      <c r="AK44" t="s">
        <v>195</v>
      </c>
      <c r="AL44" t="s">
        <v>202</v>
      </c>
      <c r="AN44" t="s">
        <v>197</v>
      </c>
      <c r="AO44">
        <v>0.57489999999999997</v>
      </c>
      <c r="AP44">
        <v>121.09409100000001</v>
      </c>
      <c r="AQ44" t="s">
        <v>56</v>
      </c>
      <c r="AR44" t="s">
        <v>198</v>
      </c>
      <c r="AS44" t="s">
        <v>199</v>
      </c>
      <c r="AT44" t="s">
        <v>200</v>
      </c>
    </row>
    <row r="45" spans="1:46" x14ac:dyDescent="0.3">
      <c r="A45">
        <v>3</v>
      </c>
      <c r="B45" s="5">
        <v>46302.280543981484</v>
      </c>
      <c r="C45" s="5">
        <v>46302.322187500002</v>
      </c>
      <c r="D45">
        <v>174650073</v>
      </c>
      <c r="E45">
        <v>2026</v>
      </c>
      <c r="F45">
        <v>10</v>
      </c>
      <c r="G45">
        <v>7</v>
      </c>
      <c r="H45" s="1" t="s">
        <v>184</v>
      </c>
      <c r="I45" t="s">
        <v>185</v>
      </c>
      <c r="J45" t="s">
        <v>186</v>
      </c>
      <c r="K45" t="s">
        <v>187</v>
      </c>
      <c r="L45" t="s">
        <v>188</v>
      </c>
      <c r="M45" t="s">
        <v>189</v>
      </c>
      <c r="N45" t="s">
        <v>190</v>
      </c>
      <c r="O45" s="6">
        <v>889834.52252400003</v>
      </c>
      <c r="P45" s="6">
        <v>-5.8914037357</v>
      </c>
      <c r="Q45" s="6">
        <v>-9.8206430000000005</v>
      </c>
      <c r="R45" s="6">
        <v>9.8206430000000005</v>
      </c>
      <c r="S45">
        <v>13</v>
      </c>
      <c r="T45" t="s">
        <v>191</v>
      </c>
      <c r="U45">
        <v>69</v>
      </c>
      <c r="V45" t="s">
        <v>192</v>
      </c>
      <c r="W45" s="1" t="s">
        <v>205</v>
      </c>
      <c r="X45" s="18">
        <v>0.59989999999999999</v>
      </c>
      <c r="Y45" s="18">
        <v>0.59989999999999999</v>
      </c>
      <c r="Z45" t="s">
        <v>194</v>
      </c>
      <c r="AA45">
        <v>193830</v>
      </c>
      <c r="AB45">
        <v>31128035</v>
      </c>
      <c r="AC45">
        <v>0</v>
      </c>
      <c r="AD45">
        <v>6394368</v>
      </c>
      <c r="AG45">
        <v>20768074</v>
      </c>
      <c r="AJ45">
        <v>197576</v>
      </c>
      <c r="AK45" t="s">
        <v>195</v>
      </c>
      <c r="AL45" t="s">
        <v>206</v>
      </c>
      <c r="AN45" t="s">
        <v>197</v>
      </c>
      <c r="AO45">
        <v>0.57489999999999997</v>
      </c>
      <c r="AP45">
        <v>120.04309120000001</v>
      </c>
      <c r="AQ45" t="s">
        <v>39</v>
      </c>
      <c r="AR45" t="s">
        <v>198</v>
      </c>
      <c r="AS45" t="s">
        <v>199</v>
      </c>
      <c r="AT45" t="s">
        <v>200</v>
      </c>
    </row>
    <row r="46" spans="1:46" x14ac:dyDescent="0.3">
      <c r="A46">
        <v>3</v>
      </c>
      <c r="B46" s="5">
        <v>46302.281504629631</v>
      </c>
      <c r="C46" s="5">
        <v>46302.323148148149</v>
      </c>
      <c r="D46">
        <v>174650325</v>
      </c>
      <c r="E46">
        <v>2026</v>
      </c>
      <c r="F46">
        <v>10</v>
      </c>
      <c r="G46">
        <v>7</v>
      </c>
      <c r="H46" s="1" t="s">
        <v>184</v>
      </c>
      <c r="I46" t="s">
        <v>185</v>
      </c>
      <c r="J46" t="s">
        <v>186</v>
      </c>
      <c r="K46" t="s">
        <v>187</v>
      </c>
      <c r="L46" t="s">
        <v>188</v>
      </c>
      <c r="M46" t="s">
        <v>189</v>
      </c>
      <c r="N46" t="s">
        <v>190</v>
      </c>
      <c r="O46" s="6">
        <v>889824.70188099996</v>
      </c>
      <c r="P46" s="6">
        <v>-4.4872573990999998</v>
      </c>
      <c r="Q46" s="6">
        <v>-7.4800089999999999</v>
      </c>
      <c r="R46" s="6">
        <v>7.4800089999999999</v>
      </c>
      <c r="S46">
        <v>13</v>
      </c>
      <c r="T46" t="s">
        <v>191</v>
      </c>
      <c r="U46">
        <v>69</v>
      </c>
      <c r="V46" t="s">
        <v>192</v>
      </c>
      <c r="W46" s="1" t="s">
        <v>203</v>
      </c>
      <c r="X46" s="18">
        <v>0.59989999999999999</v>
      </c>
      <c r="Y46" s="18">
        <v>0.59989999999999999</v>
      </c>
      <c r="Z46" t="s">
        <v>194</v>
      </c>
      <c r="AA46">
        <v>193830</v>
      </c>
      <c r="AB46">
        <v>31128088</v>
      </c>
      <c r="AC46">
        <v>0</v>
      </c>
      <c r="AD46">
        <v>6394368</v>
      </c>
      <c r="AG46">
        <v>20871851</v>
      </c>
      <c r="AJ46">
        <v>192817</v>
      </c>
      <c r="AK46" t="s">
        <v>195</v>
      </c>
      <c r="AL46" t="s">
        <v>204</v>
      </c>
      <c r="AN46" t="s">
        <v>197</v>
      </c>
      <c r="AO46">
        <v>0.57489999999999997</v>
      </c>
      <c r="AP46">
        <v>121.080091</v>
      </c>
      <c r="AQ46" t="s">
        <v>54</v>
      </c>
      <c r="AR46" t="s">
        <v>198</v>
      </c>
      <c r="AS46" t="s">
        <v>199</v>
      </c>
      <c r="AT46" t="s">
        <v>200</v>
      </c>
    </row>
    <row r="47" spans="1:46" x14ac:dyDescent="0.3">
      <c r="A47">
        <v>3</v>
      </c>
      <c r="B47" s="5">
        <v>46302.281898148147</v>
      </c>
      <c r="C47" s="5">
        <v>46302.323553240742</v>
      </c>
      <c r="D47">
        <v>174650365</v>
      </c>
      <c r="E47">
        <v>2026</v>
      </c>
      <c r="F47">
        <v>10</v>
      </c>
      <c r="G47">
        <v>7</v>
      </c>
      <c r="H47" s="1" t="s">
        <v>184</v>
      </c>
      <c r="I47" t="s">
        <v>185</v>
      </c>
      <c r="J47" t="s">
        <v>186</v>
      </c>
      <c r="K47" t="s">
        <v>187</v>
      </c>
      <c r="L47" t="s">
        <v>188</v>
      </c>
      <c r="M47" t="s">
        <v>189</v>
      </c>
      <c r="N47" t="s">
        <v>190</v>
      </c>
      <c r="O47" s="6">
        <v>889817.22187200002</v>
      </c>
      <c r="P47" s="6">
        <v>-4.4872573990999998</v>
      </c>
      <c r="Q47" s="6">
        <v>-7.4800089999999999</v>
      </c>
      <c r="R47" s="6">
        <v>7.4800089999999999</v>
      </c>
      <c r="S47">
        <v>13</v>
      </c>
      <c r="T47" t="s">
        <v>191</v>
      </c>
      <c r="U47">
        <v>69</v>
      </c>
      <c r="V47" t="s">
        <v>192</v>
      </c>
      <c r="W47" s="1" t="s">
        <v>203</v>
      </c>
      <c r="X47" s="18">
        <v>0.59989999999999999</v>
      </c>
      <c r="Y47" s="18">
        <v>0.59989999999999999</v>
      </c>
      <c r="Z47" t="s">
        <v>194</v>
      </c>
      <c r="AA47">
        <v>193830</v>
      </c>
      <c r="AB47">
        <v>31128097</v>
      </c>
      <c r="AC47">
        <v>0</v>
      </c>
      <c r="AD47">
        <v>6394368</v>
      </c>
      <c r="AG47">
        <v>20871851</v>
      </c>
      <c r="AJ47">
        <v>192817</v>
      </c>
      <c r="AK47" t="s">
        <v>195</v>
      </c>
      <c r="AL47" t="s">
        <v>204</v>
      </c>
      <c r="AN47" t="s">
        <v>197</v>
      </c>
      <c r="AO47">
        <v>0.57489999999999997</v>
      </c>
      <c r="AP47">
        <v>121.080091</v>
      </c>
      <c r="AQ47" t="s">
        <v>54</v>
      </c>
      <c r="AR47" t="s">
        <v>198</v>
      </c>
      <c r="AS47" t="s">
        <v>199</v>
      </c>
      <c r="AT47" t="s">
        <v>200</v>
      </c>
    </row>
    <row r="48" spans="1:46" x14ac:dyDescent="0.3">
      <c r="A48">
        <v>3</v>
      </c>
      <c r="B48" s="5">
        <v>46302.282766203702</v>
      </c>
      <c r="C48" s="5">
        <v>46302.32440972222</v>
      </c>
      <c r="D48">
        <v>174650609</v>
      </c>
      <c r="E48">
        <v>2026</v>
      </c>
      <c r="F48">
        <v>10</v>
      </c>
      <c r="G48">
        <v>7</v>
      </c>
      <c r="H48" s="1" t="s">
        <v>184</v>
      </c>
      <c r="I48" t="s">
        <v>185</v>
      </c>
      <c r="J48" t="s">
        <v>186</v>
      </c>
      <c r="K48" t="s">
        <v>187</v>
      </c>
      <c r="L48" t="s">
        <v>188</v>
      </c>
      <c r="M48" t="s">
        <v>189</v>
      </c>
      <c r="N48" t="s">
        <v>190</v>
      </c>
      <c r="O48" s="6">
        <v>889809.74186299997</v>
      </c>
      <c r="P48" s="6">
        <v>-4.4872573990999998</v>
      </c>
      <c r="Q48" s="6">
        <v>-7.4800089999999999</v>
      </c>
      <c r="R48" s="6">
        <v>7.4800089999999999</v>
      </c>
      <c r="S48">
        <v>13</v>
      </c>
      <c r="T48" t="s">
        <v>191</v>
      </c>
      <c r="U48">
        <v>69</v>
      </c>
      <c r="V48" t="s">
        <v>192</v>
      </c>
      <c r="W48" s="1" t="s">
        <v>203</v>
      </c>
      <c r="X48" s="18">
        <v>0.59989999999999999</v>
      </c>
      <c r="Y48" s="18">
        <v>0.59989999999999999</v>
      </c>
      <c r="Z48" t="s">
        <v>194</v>
      </c>
      <c r="AA48">
        <v>193830</v>
      </c>
      <c r="AB48">
        <v>31128138</v>
      </c>
      <c r="AC48">
        <v>0</v>
      </c>
      <c r="AD48">
        <v>6394368</v>
      </c>
      <c r="AG48">
        <v>20871851</v>
      </c>
      <c r="AJ48">
        <v>192817</v>
      </c>
      <c r="AK48" t="s">
        <v>195</v>
      </c>
      <c r="AL48" t="s">
        <v>204</v>
      </c>
      <c r="AN48" t="s">
        <v>197</v>
      </c>
      <c r="AO48">
        <v>0.57489999999999997</v>
      </c>
      <c r="AP48">
        <v>121.080091</v>
      </c>
      <c r="AQ48" t="s">
        <v>54</v>
      </c>
      <c r="AR48" t="s">
        <v>198</v>
      </c>
      <c r="AS48" t="s">
        <v>199</v>
      </c>
      <c r="AT48" t="s">
        <v>200</v>
      </c>
    </row>
    <row r="49" spans="1:46" x14ac:dyDescent="0.3">
      <c r="A49">
        <v>3</v>
      </c>
      <c r="B49" s="5">
        <v>46302.283935185187</v>
      </c>
      <c r="C49" s="5">
        <v>46302.325578703705</v>
      </c>
      <c r="D49">
        <v>174650797</v>
      </c>
      <c r="E49">
        <v>2026</v>
      </c>
      <c r="F49">
        <v>10</v>
      </c>
      <c r="G49">
        <v>7</v>
      </c>
      <c r="H49" s="1" t="s">
        <v>184</v>
      </c>
      <c r="I49" t="s">
        <v>185</v>
      </c>
      <c r="J49" t="s">
        <v>186</v>
      </c>
      <c r="K49" t="s">
        <v>187</v>
      </c>
      <c r="L49" t="s">
        <v>188</v>
      </c>
      <c r="M49" t="s">
        <v>189</v>
      </c>
      <c r="N49" t="s">
        <v>190</v>
      </c>
      <c r="O49" s="6">
        <v>889802.26185400004</v>
      </c>
      <c r="P49" s="6">
        <v>-4.4719893441999998</v>
      </c>
      <c r="Q49" s="6">
        <v>-7.4545579999999996</v>
      </c>
      <c r="R49" s="6">
        <v>7.4545579999999996</v>
      </c>
      <c r="S49">
        <v>13</v>
      </c>
      <c r="T49" t="s">
        <v>191</v>
      </c>
      <c r="U49">
        <v>69</v>
      </c>
      <c r="V49" t="s">
        <v>192</v>
      </c>
      <c r="W49" s="1" t="s">
        <v>201</v>
      </c>
      <c r="X49" s="18">
        <v>0.59989999999999999</v>
      </c>
      <c r="Y49" s="18">
        <v>0.59989999999999999</v>
      </c>
      <c r="Z49" t="s">
        <v>194</v>
      </c>
      <c r="AA49">
        <v>193830</v>
      </c>
      <c r="AB49">
        <v>31128180</v>
      </c>
      <c r="AC49">
        <v>0</v>
      </c>
      <c r="AD49">
        <v>6394368</v>
      </c>
      <c r="AG49">
        <v>20712950</v>
      </c>
      <c r="AJ49">
        <v>194436</v>
      </c>
      <c r="AK49" t="s">
        <v>195</v>
      </c>
      <c r="AL49" t="s">
        <v>202</v>
      </c>
      <c r="AN49" t="s">
        <v>197</v>
      </c>
      <c r="AO49">
        <v>0.57489999999999997</v>
      </c>
      <c r="AP49">
        <v>121.09409100000001</v>
      </c>
      <c r="AQ49" t="s">
        <v>56</v>
      </c>
      <c r="AR49" t="s">
        <v>198</v>
      </c>
      <c r="AS49" t="s">
        <v>199</v>
      </c>
      <c r="AT49" t="s">
        <v>200</v>
      </c>
    </row>
    <row r="50" spans="1:46" x14ac:dyDescent="0.3">
      <c r="A50">
        <v>3</v>
      </c>
      <c r="B50" s="5">
        <v>46302.28402777778</v>
      </c>
      <c r="C50" s="5">
        <v>46302.325671296298</v>
      </c>
      <c r="D50">
        <v>174650810</v>
      </c>
      <c r="E50">
        <v>2026</v>
      </c>
      <c r="F50">
        <v>10</v>
      </c>
      <c r="G50">
        <v>7</v>
      </c>
      <c r="H50" s="1" t="s">
        <v>184</v>
      </c>
      <c r="I50" t="s">
        <v>185</v>
      </c>
      <c r="J50" t="s">
        <v>186</v>
      </c>
      <c r="K50" t="s">
        <v>187</v>
      </c>
      <c r="L50" t="s">
        <v>188</v>
      </c>
      <c r="M50" t="s">
        <v>189</v>
      </c>
      <c r="N50" t="s">
        <v>190</v>
      </c>
      <c r="O50" s="6">
        <v>889794.80729599996</v>
      </c>
      <c r="P50" s="6">
        <v>-4.4872573990999998</v>
      </c>
      <c r="Q50" s="6">
        <v>-7.4800089999999999</v>
      </c>
      <c r="R50" s="6">
        <v>7.4800089999999999</v>
      </c>
      <c r="S50">
        <v>13</v>
      </c>
      <c r="T50" t="s">
        <v>191</v>
      </c>
      <c r="U50">
        <v>69</v>
      </c>
      <c r="V50" t="s">
        <v>192</v>
      </c>
      <c r="W50" s="1" t="s">
        <v>203</v>
      </c>
      <c r="X50" s="18">
        <v>0.59989999999999999</v>
      </c>
      <c r="Y50" s="18">
        <v>0.59989999999999999</v>
      </c>
      <c r="Z50" t="s">
        <v>194</v>
      </c>
      <c r="AA50">
        <v>193830</v>
      </c>
      <c r="AB50">
        <v>31128181</v>
      </c>
      <c r="AC50">
        <v>0</v>
      </c>
      <c r="AD50">
        <v>6394368</v>
      </c>
      <c r="AG50">
        <v>20871851</v>
      </c>
      <c r="AJ50">
        <v>192817</v>
      </c>
      <c r="AK50" t="s">
        <v>195</v>
      </c>
      <c r="AL50" t="s">
        <v>204</v>
      </c>
      <c r="AN50" t="s">
        <v>197</v>
      </c>
      <c r="AO50">
        <v>0.57489999999999997</v>
      </c>
      <c r="AP50">
        <v>121.080091</v>
      </c>
      <c r="AQ50" t="s">
        <v>54</v>
      </c>
      <c r="AR50" t="s">
        <v>198</v>
      </c>
      <c r="AS50" t="s">
        <v>199</v>
      </c>
      <c r="AT50" t="s">
        <v>200</v>
      </c>
    </row>
    <row r="51" spans="1:46" x14ac:dyDescent="0.3">
      <c r="A51">
        <v>3</v>
      </c>
      <c r="B51" s="5">
        <v>46302.285381944443</v>
      </c>
      <c r="C51" s="5">
        <v>46302.327025462961</v>
      </c>
      <c r="D51">
        <v>174651036</v>
      </c>
      <c r="E51">
        <v>2026</v>
      </c>
      <c r="F51">
        <v>10</v>
      </c>
      <c r="G51">
        <v>7</v>
      </c>
      <c r="H51" s="1" t="s">
        <v>184</v>
      </c>
      <c r="I51" t="s">
        <v>185</v>
      </c>
      <c r="J51" t="s">
        <v>186</v>
      </c>
      <c r="K51" t="s">
        <v>187</v>
      </c>
      <c r="L51" t="s">
        <v>188</v>
      </c>
      <c r="M51" t="s">
        <v>189</v>
      </c>
      <c r="N51" t="s">
        <v>190</v>
      </c>
      <c r="O51" s="6">
        <v>889787.32728700002</v>
      </c>
      <c r="P51" s="6">
        <v>-4.4872573990999998</v>
      </c>
      <c r="Q51" s="6">
        <v>-7.4800089999999999</v>
      </c>
      <c r="R51" s="6">
        <v>7.4800089999999999</v>
      </c>
      <c r="S51">
        <v>13</v>
      </c>
      <c r="T51" t="s">
        <v>191</v>
      </c>
      <c r="U51">
        <v>69</v>
      </c>
      <c r="V51" t="s">
        <v>192</v>
      </c>
      <c r="W51" s="1" t="s">
        <v>203</v>
      </c>
      <c r="X51" s="18">
        <v>0.59989999999999999</v>
      </c>
      <c r="Y51" s="18">
        <v>0.59989999999999999</v>
      </c>
      <c r="Z51" t="s">
        <v>194</v>
      </c>
      <c r="AA51">
        <v>193830</v>
      </c>
      <c r="AB51">
        <v>31128214</v>
      </c>
      <c r="AC51">
        <v>0</v>
      </c>
      <c r="AD51">
        <v>6394368</v>
      </c>
      <c r="AG51">
        <v>20871851</v>
      </c>
      <c r="AJ51">
        <v>192817</v>
      </c>
      <c r="AK51" t="s">
        <v>195</v>
      </c>
      <c r="AL51" t="s">
        <v>204</v>
      </c>
      <c r="AN51" t="s">
        <v>197</v>
      </c>
      <c r="AO51">
        <v>0.57489999999999997</v>
      </c>
      <c r="AP51">
        <v>121.080091</v>
      </c>
      <c r="AQ51" t="s">
        <v>54</v>
      </c>
      <c r="AR51" t="s">
        <v>198</v>
      </c>
      <c r="AS51" t="s">
        <v>199</v>
      </c>
      <c r="AT51" t="s">
        <v>200</v>
      </c>
    </row>
    <row r="52" spans="1:46" x14ac:dyDescent="0.3">
      <c r="A52">
        <v>3</v>
      </c>
      <c r="B52" s="5">
        <v>46302.286365740743</v>
      </c>
      <c r="C52" s="5">
        <v>46302.328009259261</v>
      </c>
      <c r="D52">
        <v>174651382</v>
      </c>
      <c r="E52">
        <v>2026</v>
      </c>
      <c r="F52">
        <v>10</v>
      </c>
      <c r="G52">
        <v>7</v>
      </c>
      <c r="H52" s="1" t="s">
        <v>184</v>
      </c>
      <c r="I52" t="s">
        <v>185</v>
      </c>
      <c r="J52" t="s">
        <v>186</v>
      </c>
      <c r="K52" t="s">
        <v>187</v>
      </c>
      <c r="L52" t="s">
        <v>188</v>
      </c>
      <c r="M52" t="s">
        <v>189</v>
      </c>
      <c r="N52" t="s">
        <v>190</v>
      </c>
      <c r="O52" s="6">
        <v>889779.84727799997</v>
      </c>
      <c r="P52" s="6">
        <v>-4.4872573990999998</v>
      </c>
      <c r="Q52" s="6">
        <v>-7.4800089999999999</v>
      </c>
      <c r="R52" s="6">
        <v>7.4800089999999999</v>
      </c>
      <c r="S52">
        <v>13</v>
      </c>
      <c r="T52" t="s">
        <v>191</v>
      </c>
      <c r="U52">
        <v>69</v>
      </c>
      <c r="V52" t="s">
        <v>192</v>
      </c>
      <c r="W52" s="1" t="s">
        <v>203</v>
      </c>
      <c r="X52" s="18">
        <v>0.59989999999999999</v>
      </c>
      <c r="Y52" s="18">
        <v>0.59989999999999999</v>
      </c>
      <c r="Z52" t="s">
        <v>194</v>
      </c>
      <c r="AA52">
        <v>193830</v>
      </c>
      <c r="AB52">
        <v>31128290</v>
      </c>
      <c r="AC52">
        <v>0</v>
      </c>
      <c r="AD52">
        <v>6394368</v>
      </c>
      <c r="AG52">
        <v>20871851</v>
      </c>
      <c r="AJ52">
        <v>192817</v>
      </c>
      <c r="AK52" t="s">
        <v>195</v>
      </c>
      <c r="AL52" t="s">
        <v>204</v>
      </c>
      <c r="AN52" t="s">
        <v>197</v>
      </c>
      <c r="AO52">
        <v>0.57489999999999997</v>
      </c>
      <c r="AP52">
        <v>121.080091</v>
      </c>
      <c r="AQ52" t="s">
        <v>54</v>
      </c>
      <c r="AR52" t="s">
        <v>198</v>
      </c>
      <c r="AS52" t="s">
        <v>199</v>
      </c>
      <c r="AT52" t="s">
        <v>200</v>
      </c>
    </row>
    <row r="53" spans="1:46" x14ac:dyDescent="0.3">
      <c r="A53">
        <v>3</v>
      </c>
      <c r="B53" s="5">
        <v>46302.287187499998</v>
      </c>
      <c r="C53" s="5">
        <v>46302.328831018516</v>
      </c>
      <c r="D53">
        <v>174651651</v>
      </c>
      <c r="E53">
        <v>2026</v>
      </c>
      <c r="F53">
        <v>10</v>
      </c>
      <c r="G53">
        <v>7</v>
      </c>
      <c r="H53" s="1" t="s">
        <v>184</v>
      </c>
      <c r="I53" t="s">
        <v>185</v>
      </c>
      <c r="J53" t="s">
        <v>186</v>
      </c>
      <c r="K53" t="s">
        <v>187</v>
      </c>
      <c r="L53" t="s">
        <v>188</v>
      </c>
      <c r="M53" t="s">
        <v>189</v>
      </c>
      <c r="N53" t="s">
        <v>190</v>
      </c>
      <c r="O53" s="6">
        <v>889772.36726900004</v>
      </c>
      <c r="P53" s="6">
        <v>-5.8914037357</v>
      </c>
      <c r="Q53" s="6">
        <v>-9.8206430000000005</v>
      </c>
      <c r="R53" s="6">
        <v>9.8206430000000005</v>
      </c>
      <c r="S53">
        <v>13</v>
      </c>
      <c r="T53" t="s">
        <v>191</v>
      </c>
      <c r="U53">
        <v>69</v>
      </c>
      <c r="V53" t="s">
        <v>192</v>
      </c>
      <c r="W53" s="1" t="s">
        <v>205</v>
      </c>
      <c r="X53" s="18">
        <v>0.59989999999999999</v>
      </c>
      <c r="Y53" s="18">
        <v>0.59989999999999999</v>
      </c>
      <c r="Z53" t="s">
        <v>194</v>
      </c>
      <c r="AA53">
        <v>193830</v>
      </c>
      <c r="AB53">
        <v>31128331</v>
      </c>
      <c r="AC53">
        <v>0</v>
      </c>
      <c r="AD53">
        <v>6394368</v>
      </c>
      <c r="AG53">
        <v>20768074</v>
      </c>
      <c r="AJ53">
        <v>197576</v>
      </c>
      <c r="AK53" t="s">
        <v>195</v>
      </c>
      <c r="AL53" t="s">
        <v>206</v>
      </c>
      <c r="AN53" t="s">
        <v>197</v>
      </c>
      <c r="AO53">
        <v>0.57489999999999997</v>
      </c>
      <c r="AP53">
        <v>120.04309120000001</v>
      </c>
      <c r="AQ53" t="s">
        <v>39</v>
      </c>
      <c r="AR53" t="s">
        <v>198</v>
      </c>
      <c r="AS53" t="s">
        <v>199</v>
      </c>
      <c r="AT53" t="s">
        <v>200</v>
      </c>
    </row>
    <row r="54" spans="1:46" x14ac:dyDescent="0.3">
      <c r="A54">
        <v>3</v>
      </c>
      <c r="B54" s="5">
        <v>46302.28738425926</v>
      </c>
      <c r="C54" s="5">
        <v>46302.329027777778</v>
      </c>
      <c r="D54">
        <v>174651710</v>
      </c>
      <c r="E54">
        <v>2026</v>
      </c>
      <c r="F54">
        <v>10</v>
      </c>
      <c r="G54">
        <v>7</v>
      </c>
      <c r="H54" s="1" t="s">
        <v>184</v>
      </c>
      <c r="I54" t="s">
        <v>185</v>
      </c>
      <c r="J54" t="s">
        <v>186</v>
      </c>
      <c r="K54" t="s">
        <v>187</v>
      </c>
      <c r="L54" t="s">
        <v>188</v>
      </c>
      <c r="M54" t="s">
        <v>189</v>
      </c>
      <c r="N54" t="s">
        <v>190</v>
      </c>
      <c r="O54" s="6">
        <v>889762.54662599997</v>
      </c>
      <c r="P54" s="6">
        <v>-4.4719893441999998</v>
      </c>
      <c r="Q54" s="6">
        <v>-7.4545579999999996</v>
      </c>
      <c r="R54" s="6">
        <v>7.4545579999999996</v>
      </c>
      <c r="S54">
        <v>13</v>
      </c>
      <c r="T54" t="s">
        <v>191</v>
      </c>
      <c r="U54">
        <v>69</v>
      </c>
      <c r="V54" t="s">
        <v>192</v>
      </c>
      <c r="W54" s="1" t="s">
        <v>201</v>
      </c>
      <c r="X54" s="18">
        <v>0.59989999999999999</v>
      </c>
      <c r="Y54" s="18">
        <v>0.59989999999999999</v>
      </c>
      <c r="Z54" t="s">
        <v>194</v>
      </c>
      <c r="AA54">
        <v>193830</v>
      </c>
      <c r="AB54">
        <v>31128337</v>
      </c>
      <c r="AC54">
        <v>0</v>
      </c>
      <c r="AD54">
        <v>6394368</v>
      </c>
      <c r="AG54">
        <v>20712950</v>
      </c>
      <c r="AJ54">
        <v>194436</v>
      </c>
      <c r="AK54" t="s">
        <v>195</v>
      </c>
      <c r="AL54" t="s">
        <v>202</v>
      </c>
      <c r="AN54" t="s">
        <v>197</v>
      </c>
      <c r="AO54">
        <v>0.57489999999999997</v>
      </c>
      <c r="AP54">
        <v>121.09409100000001</v>
      </c>
      <c r="AQ54" t="s">
        <v>56</v>
      </c>
      <c r="AR54" t="s">
        <v>198</v>
      </c>
      <c r="AS54" t="s">
        <v>199</v>
      </c>
      <c r="AT54" t="s">
        <v>200</v>
      </c>
    </row>
    <row r="55" spans="1:46" x14ac:dyDescent="0.3">
      <c r="A55">
        <v>3</v>
      </c>
      <c r="B55" s="5">
        <v>46302.288217592592</v>
      </c>
      <c r="C55" s="5">
        <v>46302.329861111109</v>
      </c>
      <c r="D55">
        <v>174651834</v>
      </c>
      <c r="E55">
        <v>2026</v>
      </c>
      <c r="F55">
        <v>10</v>
      </c>
      <c r="G55">
        <v>7</v>
      </c>
      <c r="H55" s="1" t="s">
        <v>184</v>
      </c>
      <c r="I55" t="s">
        <v>185</v>
      </c>
      <c r="J55" t="s">
        <v>186</v>
      </c>
      <c r="K55" t="s">
        <v>187</v>
      </c>
      <c r="L55" t="s">
        <v>188</v>
      </c>
      <c r="M55" t="s">
        <v>189</v>
      </c>
      <c r="N55" t="s">
        <v>190</v>
      </c>
      <c r="O55" s="6">
        <v>889755.092068</v>
      </c>
      <c r="P55" s="6">
        <v>-5.8914037357</v>
      </c>
      <c r="Q55" s="6">
        <v>-9.8206430000000005</v>
      </c>
      <c r="R55" s="6">
        <v>9.8206430000000005</v>
      </c>
      <c r="S55">
        <v>13</v>
      </c>
      <c r="T55" t="s">
        <v>191</v>
      </c>
      <c r="U55">
        <v>69</v>
      </c>
      <c r="V55" t="s">
        <v>192</v>
      </c>
      <c r="W55" s="1" t="s">
        <v>205</v>
      </c>
      <c r="X55" s="18">
        <v>0.59989999999999999</v>
      </c>
      <c r="Y55" s="18">
        <v>0.59989999999999999</v>
      </c>
      <c r="Z55" t="s">
        <v>194</v>
      </c>
      <c r="AA55">
        <v>193830</v>
      </c>
      <c r="AB55">
        <v>31128369</v>
      </c>
      <c r="AC55">
        <v>0</v>
      </c>
      <c r="AD55">
        <v>6394368</v>
      </c>
      <c r="AG55">
        <v>20768074</v>
      </c>
      <c r="AJ55">
        <v>197576</v>
      </c>
      <c r="AK55" t="s">
        <v>195</v>
      </c>
      <c r="AL55" t="s">
        <v>206</v>
      </c>
      <c r="AN55" t="s">
        <v>197</v>
      </c>
      <c r="AO55">
        <v>0.57489999999999997</v>
      </c>
      <c r="AP55">
        <v>120.04309120000001</v>
      </c>
      <c r="AQ55" t="s">
        <v>39</v>
      </c>
      <c r="AR55" t="s">
        <v>198</v>
      </c>
      <c r="AS55" t="s">
        <v>199</v>
      </c>
      <c r="AT55" t="s">
        <v>200</v>
      </c>
    </row>
    <row r="56" spans="1:46" x14ac:dyDescent="0.3">
      <c r="A56">
        <v>3</v>
      </c>
      <c r="B56" s="5">
        <v>46302.289143518516</v>
      </c>
      <c r="C56" s="5">
        <v>46302.330787037034</v>
      </c>
      <c r="D56">
        <v>174652110</v>
      </c>
      <c r="E56">
        <v>2026</v>
      </c>
      <c r="F56">
        <v>10</v>
      </c>
      <c r="G56">
        <v>7</v>
      </c>
      <c r="H56" s="1" t="s">
        <v>184</v>
      </c>
      <c r="I56" t="s">
        <v>185</v>
      </c>
      <c r="J56" t="s">
        <v>186</v>
      </c>
      <c r="K56" t="s">
        <v>187</v>
      </c>
      <c r="L56" t="s">
        <v>188</v>
      </c>
      <c r="M56" t="s">
        <v>189</v>
      </c>
      <c r="N56" t="s">
        <v>190</v>
      </c>
      <c r="O56" s="6">
        <v>889745.27142500004</v>
      </c>
      <c r="P56" s="6">
        <v>-5.8914037357</v>
      </c>
      <c r="Q56" s="6">
        <v>-9.8206430000000005</v>
      </c>
      <c r="R56" s="6">
        <v>9.8206430000000005</v>
      </c>
      <c r="S56">
        <v>13</v>
      </c>
      <c r="T56" t="s">
        <v>191</v>
      </c>
      <c r="U56">
        <v>69</v>
      </c>
      <c r="V56" t="s">
        <v>192</v>
      </c>
      <c r="W56" s="1" t="s">
        <v>205</v>
      </c>
      <c r="X56" s="18">
        <v>0.59989999999999999</v>
      </c>
      <c r="Y56" s="18">
        <v>0.59989999999999999</v>
      </c>
      <c r="Z56" t="s">
        <v>194</v>
      </c>
      <c r="AA56">
        <v>193830</v>
      </c>
      <c r="AB56">
        <v>31128417</v>
      </c>
      <c r="AC56">
        <v>0</v>
      </c>
      <c r="AD56">
        <v>6394368</v>
      </c>
      <c r="AG56">
        <v>20768074</v>
      </c>
      <c r="AJ56">
        <v>197576</v>
      </c>
      <c r="AK56" t="s">
        <v>195</v>
      </c>
      <c r="AL56" t="s">
        <v>206</v>
      </c>
      <c r="AN56" t="s">
        <v>197</v>
      </c>
      <c r="AO56">
        <v>0.57489999999999997</v>
      </c>
      <c r="AP56">
        <v>120.04309120000001</v>
      </c>
      <c r="AQ56" t="s">
        <v>39</v>
      </c>
      <c r="AR56" t="s">
        <v>198</v>
      </c>
      <c r="AS56" t="s">
        <v>199</v>
      </c>
      <c r="AT56" t="s">
        <v>200</v>
      </c>
    </row>
    <row r="57" spans="1:46" x14ac:dyDescent="0.3">
      <c r="A57">
        <v>3</v>
      </c>
      <c r="B57" s="5">
        <v>46302.29</v>
      </c>
      <c r="C57" s="5">
        <v>46302.331643518519</v>
      </c>
      <c r="D57">
        <v>174652247</v>
      </c>
      <c r="E57">
        <v>2026</v>
      </c>
      <c r="F57">
        <v>10</v>
      </c>
      <c r="G57">
        <v>7</v>
      </c>
      <c r="H57" s="1" t="s">
        <v>184</v>
      </c>
      <c r="I57" t="s">
        <v>185</v>
      </c>
      <c r="J57" t="s">
        <v>186</v>
      </c>
      <c r="K57" t="s">
        <v>187</v>
      </c>
      <c r="L57" t="s">
        <v>188</v>
      </c>
      <c r="M57" t="s">
        <v>189</v>
      </c>
      <c r="N57" t="s">
        <v>190</v>
      </c>
      <c r="O57" s="6">
        <v>889735.45078199997</v>
      </c>
      <c r="P57" s="6">
        <v>-4.4872573990999998</v>
      </c>
      <c r="Q57" s="6">
        <v>-7.4800089999999999</v>
      </c>
      <c r="R57" s="6">
        <v>7.4800089999999999</v>
      </c>
      <c r="S57">
        <v>13</v>
      </c>
      <c r="T57" t="s">
        <v>191</v>
      </c>
      <c r="U57">
        <v>69</v>
      </c>
      <c r="V57" t="s">
        <v>192</v>
      </c>
      <c r="W57" s="1" t="s">
        <v>203</v>
      </c>
      <c r="X57" s="18">
        <v>0.59989999999999999</v>
      </c>
      <c r="Y57" s="18">
        <v>0.59989999999999999</v>
      </c>
      <c r="Z57" t="s">
        <v>194</v>
      </c>
      <c r="AA57">
        <v>193830</v>
      </c>
      <c r="AB57">
        <v>31128440</v>
      </c>
      <c r="AC57">
        <v>0</v>
      </c>
      <c r="AD57">
        <v>6394368</v>
      </c>
      <c r="AG57">
        <v>20871851</v>
      </c>
      <c r="AJ57">
        <v>192817</v>
      </c>
      <c r="AK57" t="s">
        <v>195</v>
      </c>
      <c r="AL57" t="s">
        <v>204</v>
      </c>
      <c r="AN57" t="s">
        <v>197</v>
      </c>
      <c r="AO57">
        <v>0.57489999999999997</v>
      </c>
      <c r="AP57">
        <v>121.080091</v>
      </c>
      <c r="AQ57" t="s">
        <v>54</v>
      </c>
      <c r="AR57" t="s">
        <v>198</v>
      </c>
      <c r="AS57" t="s">
        <v>199</v>
      </c>
      <c r="AT57" t="s">
        <v>200</v>
      </c>
    </row>
    <row r="58" spans="1:46" x14ac:dyDescent="0.3">
      <c r="A58">
        <v>3</v>
      </c>
      <c r="B58" s="5">
        <v>46302.291018518517</v>
      </c>
      <c r="C58" s="5">
        <v>46302.332662037035</v>
      </c>
      <c r="D58">
        <v>174652366</v>
      </c>
      <c r="E58">
        <v>2026</v>
      </c>
      <c r="F58">
        <v>10</v>
      </c>
      <c r="G58">
        <v>7</v>
      </c>
      <c r="H58" s="1" t="s">
        <v>184</v>
      </c>
      <c r="I58" t="s">
        <v>185</v>
      </c>
      <c r="J58" t="s">
        <v>186</v>
      </c>
      <c r="K58" t="s">
        <v>187</v>
      </c>
      <c r="L58" t="s">
        <v>188</v>
      </c>
      <c r="M58" t="s">
        <v>189</v>
      </c>
      <c r="N58" t="s">
        <v>190</v>
      </c>
      <c r="O58" s="6">
        <v>889727.97077300004</v>
      </c>
      <c r="P58" s="6">
        <v>-4.4872573990999998</v>
      </c>
      <c r="Q58" s="6">
        <v>-7.4800089999999999</v>
      </c>
      <c r="R58" s="6">
        <v>7.4800089999999999</v>
      </c>
      <c r="S58">
        <v>13</v>
      </c>
      <c r="T58" t="s">
        <v>191</v>
      </c>
      <c r="U58">
        <v>69</v>
      </c>
      <c r="V58" t="s">
        <v>192</v>
      </c>
      <c r="W58" s="1" t="s">
        <v>203</v>
      </c>
      <c r="X58" s="18">
        <v>0.59989999999999999</v>
      </c>
      <c r="Y58" s="18">
        <v>0.59989999999999999</v>
      </c>
      <c r="Z58" t="s">
        <v>194</v>
      </c>
      <c r="AA58">
        <v>193830</v>
      </c>
      <c r="AB58">
        <v>31128461</v>
      </c>
      <c r="AC58">
        <v>0</v>
      </c>
      <c r="AD58">
        <v>6394368</v>
      </c>
      <c r="AG58">
        <v>20871851</v>
      </c>
      <c r="AJ58">
        <v>192817</v>
      </c>
      <c r="AK58" t="s">
        <v>195</v>
      </c>
      <c r="AL58" t="s">
        <v>204</v>
      </c>
      <c r="AN58" t="s">
        <v>197</v>
      </c>
      <c r="AO58">
        <v>0.57489999999999997</v>
      </c>
      <c r="AP58">
        <v>121.080091</v>
      </c>
      <c r="AQ58" t="s">
        <v>54</v>
      </c>
      <c r="AR58" t="s">
        <v>198</v>
      </c>
      <c r="AS58" t="s">
        <v>199</v>
      </c>
      <c r="AT58" t="s">
        <v>200</v>
      </c>
    </row>
    <row r="59" spans="1:46" x14ac:dyDescent="0.3">
      <c r="A59">
        <v>3</v>
      </c>
      <c r="B59" s="5">
        <v>46302.291400462964</v>
      </c>
      <c r="C59" s="5">
        <v>46302.333055555559</v>
      </c>
      <c r="D59">
        <v>174652450</v>
      </c>
      <c r="E59">
        <v>2026</v>
      </c>
      <c r="F59">
        <v>10</v>
      </c>
      <c r="G59">
        <v>7</v>
      </c>
      <c r="H59" s="1" t="s">
        <v>184</v>
      </c>
      <c r="I59" t="s">
        <v>185</v>
      </c>
      <c r="J59" t="s">
        <v>186</v>
      </c>
      <c r="K59" t="s">
        <v>187</v>
      </c>
      <c r="L59" t="s">
        <v>188</v>
      </c>
      <c r="M59" t="s">
        <v>189</v>
      </c>
      <c r="N59" t="s">
        <v>190</v>
      </c>
      <c r="O59" s="6">
        <v>889720.49076399999</v>
      </c>
      <c r="P59" s="6">
        <v>-4.4719893441999998</v>
      </c>
      <c r="Q59" s="6">
        <v>-7.4545579999999996</v>
      </c>
      <c r="R59" s="6">
        <v>7.4545579999999996</v>
      </c>
      <c r="S59">
        <v>13</v>
      </c>
      <c r="T59" t="s">
        <v>191</v>
      </c>
      <c r="U59">
        <v>69</v>
      </c>
      <c r="V59" t="s">
        <v>192</v>
      </c>
      <c r="W59" s="1" t="s">
        <v>201</v>
      </c>
      <c r="X59" s="18">
        <v>0.59989999999999999</v>
      </c>
      <c r="Y59" s="18">
        <v>0.59989999999999999</v>
      </c>
      <c r="Z59" t="s">
        <v>194</v>
      </c>
      <c r="AA59">
        <v>193830</v>
      </c>
      <c r="AB59">
        <v>31128472</v>
      </c>
      <c r="AC59">
        <v>0</v>
      </c>
      <c r="AD59">
        <v>6394368</v>
      </c>
      <c r="AG59">
        <v>20712950</v>
      </c>
      <c r="AJ59">
        <v>194436</v>
      </c>
      <c r="AK59" t="s">
        <v>195</v>
      </c>
      <c r="AL59" t="s">
        <v>202</v>
      </c>
      <c r="AN59" t="s">
        <v>197</v>
      </c>
      <c r="AO59">
        <v>0.57489999999999997</v>
      </c>
      <c r="AP59">
        <v>121.09409100000001</v>
      </c>
      <c r="AQ59" t="s">
        <v>56</v>
      </c>
      <c r="AR59" t="s">
        <v>198</v>
      </c>
      <c r="AS59" t="s">
        <v>199</v>
      </c>
      <c r="AT59" t="s">
        <v>200</v>
      </c>
    </row>
    <row r="60" spans="1:46" x14ac:dyDescent="0.3">
      <c r="A60">
        <v>3</v>
      </c>
      <c r="B60" s="5">
        <v>46302.292592592596</v>
      </c>
      <c r="C60" s="5">
        <v>46302.334236111114</v>
      </c>
      <c r="D60">
        <v>174652716</v>
      </c>
      <c r="E60">
        <v>2026</v>
      </c>
      <c r="F60">
        <v>10</v>
      </c>
      <c r="G60">
        <v>7</v>
      </c>
      <c r="H60" s="1" t="s">
        <v>184</v>
      </c>
      <c r="I60" t="s">
        <v>185</v>
      </c>
      <c r="J60" t="s">
        <v>186</v>
      </c>
      <c r="K60" t="s">
        <v>187</v>
      </c>
      <c r="L60" t="s">
        <v>188</v>
      </c>
      <c r="M60" t="s">
        <v>189</v>
      </c>
      <c r="N60" t="s">
        <v>190</v>
      </c>
      <c r="O60" s="6">
        <v>889713.03620600002</v>
      </c>
      <c r="P60" s="6">
        <v>-4.4872573990999998</v>
      </c>
      <c r="Q60" s="6">
        <v>-7.4800089999999999</v>
      </c>
      <c r="R60" s="6">
        <v>7.4800089999999999</v>
      </c>
      <c r="S60">
        <v>13</v>
      </c>
      <c r="T60" t="s">
        <v>191</v>
      </c>
      <c r="U60">
        <v>69</v>
      </c>
      <c r="V60" t="s">
        <v>192</v>
      </c>
      <c r="W60" s="1" t="s">
        <v>203</v>
      </c>
      <c r="X60" s="18">
        <v>0.59989999999999999</v>
      </c>
      <c r="Y60" s="18">
        <v>0.59989999999999999</v>
      </c>
      <c r="Z60" t="s">
        <v>194</v>
      </c>
      <c r="AA60">
        <v>193830</v>
      </c>
      <c r="AB60">
        <v>31128535</v>
      </c>
      <c r="AC60">
        <v>0</v>
      </c>
      <c r="AD60">
        <v>6394368</v>
      </c>
      <c r="AG60">
        <v>20871851</v>
      </c>
      <c r="AJ60">
        <v>192817</v>
      </c>
      <c r="AK60" t="s">
        <v>195</v>
      </c>
      <c r="AL60" t="s">
        <v>204</v>
      </c>
      <c r="AN60" t="s">
        <v>197</v>
      </c>
      <c r="AO60">
        <v>0.57489999999999997</v>
      </c>
      <c r="AP60">
        <v>121.080091</v>
      </c>
      <c r="AQ60" t="s">
        <v>54</v>
      </c>
      <c r="AR60" t="s">
        <v>198</v>
      </c>
      <c r="AS60" t="s">
        <v>199</v>
      </c>
      <c r="AT60" t="s">
        <v>200</v>
      </c>
    </row>
    <row r="61" spans="1:46" x14ac:dyDescent="0.3">
      <c r="A61">
        <v>3</v>
      </c>
      <c r="B61" s="5">
        <v>46302.293599537035</v>
      </c>
      <c r="C61" s="5">
        <v>46302.335243055553</v>
      </c>
      <c r="D61">
        <v>174652975</v>
      </c>
      <c r="E61">
        <v>2026</v>
      </c>
      <c r="F61">
        <v>10</v>
      </c>
      <c r="G61">
        <v>7</v>
      </c>
      <c r="H61" s="1" t="s">
        <v>184</v>
      </c>
      <c r="I61" t="s">
        <v>185</v>
      </c>
      <c r="J61" t="s">
        <v>186</v>
      </c>
      <c r="K61" t="s">
        <v>187</v>
      </c>
      <c r="L61" t="s">
        <v>188</v>
      </c>
      <c r="M61" t="s">
        <v>189</v>
      </c>
      <c r="N61" t="s">
        <v>190</v>
      </c>
      <c r="O61" s="6">
        <v>889705.55619699997</v>
      </c>
      <c r="P61" s="6">
        <v>-4.4872573990999998</v>
      </c>
      <c r="Q61" s="6">
        <v>-7.4800089999999999</v>
      </c>
      <c r="R61" s="6">
        <v>7.4800089999999999</v>
      </c>
      <c r="S61">
        <v>13</v>
      </c>
      <c r="T61" t="s">
        <v>191</v>
      </c>
      <c r="U61">
        <v>69</v>
      </c>
      <c r="V61" t="s">
        <v>192</v>
      </c>
      <c r="W61" s="1" t="s">
        <v>203</v>
      </c>
      <c r="X61" s="18">
        <v>0.59989999999999999</v>
      </c>
      <c r="Y61" s="18">
        <v>0.59989999999999999</v>
      </c>
      <c r="Z61" t="s">
        <v>194</v>
      </c>
      <c r="AA61">
        <v>193830</v>
      </c>
      <c r="AB61">
        <v>31128561</v>
      </c>
      <c r="AC61">
        <v>0</v>
      </c>
      <c r="AD61">
        <v>6394368</v>
      </c>
      <c r="AG61">
        <v>20871851</v>
      </c>
      <c r="AJ61">
        <v>192817</v>
      </c>
      <c r="AK61" t="s">
        <v>195</v>
      </c>
      <c r="AL61" t="s">
        <v>204</v>
      </c>
      <c r="AN61" t="s">
        <v>197</v>
      </c>
      <c r="AO61">
        <v>0.57489999999999997</v>
      </c>
      <c r="AP61">
        <v>121.080091</v>
      </c>
      <c r="AQ61" t="s">
        <v>54</v>
      </c>
      <c r="AR61" t="s">
        <v>198</v>
      </c>
      <c r="AS61" t="s">
        <v>199</v>
      </c>
      <c r="AT61" t="s">
        <v>200</v>
      </c>
    </row>
    <row r="62" spans="1:46" x14ac:dyDescent="0.3">
      <c r="A62">
        <v>3</v>
      </c>
      <c r="B62" s="5">
        <v>46302.294930555552</v>
      </c>
      <c r="C62" s="5">
        <v>46302.336585648147</v>
      </c>
      <c r="D62">
        <v>174653156</v>
      </c>
      <c r="E62">
        <v>2026</v>
      </c>
      <c r="F62">
        <v>10</v>
      </c>
      <c r="G62">
        <v>7</v>
      </c>
      <c r="H62" s="1" t="s">
        <v>184</v>
      </c>
      <c r="I62" t="s">
        <v>185</v>
      </c>
      <c r="J62" t="s">
        <v>186</v>
      </c>
      <c r="K62" t="s">
        <v>187</v>
      </c>
      <c r="L62" t="s">
        <v>188</v>
      </c>
      <c r="M62" t="s">
        <v>189</v>
      </c>
      <c r="N62" t="s">
        <v>190</v>
      </c>
      <c r="O62" s="6">
        <v>889698.07618800004</v>
      </c>
      <c r="P62" s="6">
        <v>-5.8914037357</v>
      </c>
      <c r="Q62" s="6">
        <v>-9.8206430000000005</v>
      </c>
      <c r="R62" s="6">
        <v>9.8206430000000005</v>
      </c>
      <c r="S62">
        <v>13</v>
      </c>
      <c r="T62" t="s">
        <v>191</v>
      </c>
      <c r="U62">
        <v>69</v>
      </c>
      <c r="V62" t="s">
        <v>192</v>
      </c>
      <c r="W62" s="1" t="s">
        <v>205</v>
      </c>
      <c r="X62" s="18">
        <v>0.59989999999999999</v>
      </c>
      <c r="Y62" s="18">
        <v>0.59989999999999999</v>
      </c>
      <c r="Z62" t="s">
        <v>194</v>
      </c>
      <c r="AA62">
        <v>193830</v>
      </c>
      <c r="AB62">
        <v>31128584</v>
      </c>
      <c r="AC62">
        <v>0</v>
      </c>
      <c r="AD62">
        <v>6394368</v>
      </c>
      <c r="AG62">
        <v>20768074</v>
      </c>
      <c r="AJ62">
        <v>197576</v>
      </c>
      <c r="AK62" t="s">
        <v>195</v>
      </c>
      <c r="AL62" t="s">
        <v>206</v>
      </c>
      <c r="AN62" t="s">
        <v>197</v>
      </c>
      <c r="AO62">
        <v>0.57489999999999997</v>
      </c>
      <c r="AP62">
        <v>120.04309120000001</v>
      </c>
      <c r="AQ62" t="s">
        <v>39</v>
      </c>
      <c r="AR62" t="s">
        <v>198</v>
      </c>
      <c r="AS62" t="s">
        <v>199</v>
      </c>
      <c r="AT62" t="s">
        <v>200</v>
      </c>
    </row>
    <row r="63" spans="1:46" x14ac:dyDescent="0.3">
      <c r="A63">
        <v>3</v>
      </c>
      <c r="B63" s="5">
        <v>46302.294976851852</v>
      </c>
      <c r="C63" s="5">
        <v>46302.33662037037</v>
      </c>
      <c r="D63">
        <v>174653171</v>
      </c>
      <c r="E63">
        <v>2026</v>
      </c>
      <c r="F63">
        <v>10</v>
      </c>
      <c r="G63">
        <v>7</v>
      </c>
      <c r="H63" s="1" t="s">
        <v>184</v>
      </c>
      <c r="I63" t="s">
        <v>185</v>
      </c>
      <c r="J63" t="s">
        <v>186</v>
      </c>
      <c r="K63" t="s">
        <v>187</v>
      </c>
      <c r="L63" t="s">
        <v>188</v>
      </c>
      <c r="M63" t="s">
        <v>189</v>
      </c>
      <c r="N63" t="s">
        <v>190</v>
      </c>
      <c r="O63" s="6">
        <v>889688.25554499996</v>
      </c>
      <c r="P63" s="6">
        <v>-4.4719893441999998</v>
      </c>
      <c r="Q63" s="6">
        <v>-7.4545579999999996</v>
      </c>
      <c r="R63" s="6">
        <v>7.4545579999999996</v>
      </c>
      <c r="S63">
        <v>13</v>
      </c>
      <c r="T63" t="s">
        <v>191</v>
      </c>
      <c r="U63">
        <v>69</v>
      </c>
      <c r="V63" t="s">
        <v>192</v>
      </c>
      <c r="W63" s="1" t="s">
        <v>201</v>
      </c>
      <c r="X63" s="18">
        <v>0.59989999999999999</v>
      </c>
      <c r="Y63" s="18">
        <v>0.59989999999999999</v>
      </c>
      <c r="Z63" t="s">
        <v>194</v>
      </c>
      <c r="AA63">
        <v>193830</v>
      </c>
      <c r="AB63">
        <v>31128586</v>
      </c>
      <c r="AC63">
        <v>0</v>
      </c>
      <c r="AD63">
        <v>6394368</v>
      </c>
      <c r="AG63">
        <v>20712950</v>
      </c>
      <c r="AJ63">
        <v>194436</v>
      </c>
      <c r="AK63" t="s">
        <v>195</v>
      </c>
      <c r="AL63" t="s">
        <v>202</v>
      </c>
      <c r="AN63" t="s">
        <v>197</v>
      </c>
      <c r="AO63">
        <v>0.57489999999999997</v>
      </c>
      <c r="AP63">
        <v>121.09409100000001</v>
      </c>
      <c r="AQ63" t="s">
        <v>56</v>
      </c>
      <c r="AR63" t="s">
        <v>198</v>
      </c>
      <c r="AS63" t="s">
        <v>199</v>
      </c>
      <c r="AT63" t="s">
        <v>200</v>
      </c>
    </row>
    <row r="64" spans="1:46" x14ac:dyDescent="0.3">
      <c r="A64">
        <v>3</v>
      </c>
      <c r="B64" s="5">
        <v>46302.295960648145</v>
      </c>
      <c r="C64" s="5">
        <v>46302.337604166663</v>
      </c>
      <c r="D64">
        <v>174653339</v>
      </c>
      <c r="E64">
        <v>2026</v>
      </c>
      <c r="F64">
        <v>10</v>
      </c>
      <c r="G64">
        <v>7</v>
      </c>
      <c r="H64" s="1" t="s">
        <v>184</v>
      </c>
      <c r="I64" t="s">
        <v>185</v>
      </c>
      <c r="J64" t="s">
        <v>186</v>
      </c>
      <c r="K64" t="s">
        <v>187</v>
      </c>
      <c r="L64" t="s">
        <v>188</v>
      </c>
      <c r="M64" t="s">
        <v>189</v>
      </c>
      <c r="N64" t="s">
        <v>190</v>
      </c>
      <c r="O64" s="6">
        <v>889680.800987</v>
      </c>
      <c r="P64" s="6">
        <v>-5.8914037357</v>
      </c>
      <c r="Q64" s="6">
        <v>-9.8206430000000005</v>
      </c>
      <c r="R64" s="6">
        <v>9.8206430000000005</v>
      </c>
      <c r="S64">
        <v>13</v>
      </c>
      <c r="T64" t="s">
        <v>191</v>
      </c>
      <c r="U64">
        <v>69</v>
      </c>
      <c r="V64" t="s">
        <v>192</v>
      </c>
      <c r="W64" s="1" t="s">
        <v>205</v>
      </c>
      <c r="X64" s="18">
        <v>0.59989999999999999</v>
      </c>
      <c r="Y64" s="18">
        <v>0.59989999999999999</v>
      </c>
      <c r="Z64" t="s">
        <v>194</v>
      </c>
      <c r="AA64">
        <v>193830</v>
      </c>
      <c r="AB64">
        <v>31128633</v>
      </c>
      <c r="AC64">
        <v>0</v>
      </c>
      <c r="AD64">
        <v>6394368</v>
      </c>
      <c r="AG64">
        <v>20768074</v>
      </c>
      <c r="AJ64">
        <v>197576</v>
      </c>
      <c r="AK64" t="s">
        <v>195</v>
      </c>
      <c r="AL64" t="s">
        <v>206</v>
      </c>
      <c r="AN64" t="s">
        <v>197</v>
      </c>
      <c r="AO64">
        <v>0.57489999999999997</v>
      </c>
      <c r="AP64">
        <v>120.04309120000001</v>
      </c>
      <c r="AQ64" t="s">
        <v>39</v>
      </c>
      <c r="AR64" t="s">
        <v>198</v>
      </c>
      <c r="AS64" t="s">
        <v>199</v>
      </c>
      <c r="AT64" t="s">
        <v>200</v>
      </c>
    </row>
    <row r="65" spans="1:46" x14ac:dyDescent="0.3">
      <c r="A65">
        <v>3</v>
      </c>
      <c r="B65" s="5">
        <v>46302.296979166669</v>
      </c>
      <c r="C65" s="5">
        <v>46302.338634259257</v>
      </c>
      <c r="D65">
        <v>174653509</v>
      </c>
      <c r="E65">
        <v>2026</v>
      </c>
      <c r="F65">
        <v>10</v>
      </c>
      <c r="G65">
        <v>7</v>
      </c>
      <c r="H65" s="1" t="s">
        <v>184</v>
      </c>
      <c r="I65" t="s">
        <v>185</v>
      </c>
      <c r="J65" t="s">
        <v>186</v>
      </c>
      <c r="K65" t="s">
        <v>187</v>
      </c>
      <c r="L65" t="s">
        <v>188</v>
      </c>
      <c r="M65" t="s">
        <v>189</v>
      </c>
      <c r="N65" t="s">
        <v>190</v>
      </c>
      <c r="O65" s="6">
        <v>889670.98034400004</v>
      </c>
      <c r="P65" s="6">
        <v>-5.8914037357</v>
      </c>
      <c r="Q65" s="6">
        <v>-9.8206430000000005</v>
      </c>
      <c r="R65" s="6">
        <v>9.8206430000000005</v>
      </c>
      <c r="S65">
        <v>13</v>
      </c>
      <c r="T65" t="s">
        <v>191</v>
      </c>
      <c r="U65">
        <v>69</v>
      </c>
      <c r="V65" t="s">
        <v>192</v>
      </c>
      <c r="W65" s="1" t="s">
        <v>205</v>
      </c>
      <c r="X65" s="18">
        <v>0.59989999999999999</v>
      </c>
      <c r="Y65" s="18">
        <v>0.59989999999999999</v>
      </c>
      <c r="Z65" t="s">
        <v>194</v>
      </c>
      <c r="AA65">
        <v>193830</v>
      </c>
      <c r="AB65">
        <v>31128656</v>
      </c>
      <c r="AC65">
        <v>0</v>
      </c>
      <c r="AD65">
        <v>6394368</v>
      </c>
      <c r="AG65">
        <v>20768074</v>
      </c>
      <c r="AJ65">
        <v>197576</v>
      </c>
      <c r="AK65" t="s">
        <v>195</v>
      </c>
      <c r="AL65" t="s">
        <v>206</v>
      </c>
      <c r="AN65" t="s">
        <v>197</v>
      </c>
      <c r="AO65">
        <v>0.57489999999999997</v>
      </c>
      <c r="AP65">
        <v>120.04309120000001</v>
      </c>
      <c r="AQ65" t="s">
        <v>39</v>
      </c>
      <c r="AR65" t="s">
        <v>198</v>
      </c>
      <c r="AS65" t="s">
        <v>199</v>
      </c>
      <c r="AT65" t="s">
        <v>200</v>
      </c>
    </row>
    <row r="66" spans="1:46" x14ac:dyDescent="0.3">
      <c r="A66">
        <v>3</v>
      </c>
      <c r="B66" s="5">
        <v>46302.297997685186</v>
      </c>
      <c r="C66" s="5">
        <v>46302.339641203704</v>
      </c>
      <c r="D66">
        <v>174653849</v>
      </c>
      <c r="E66">
        <v>2026</v>
      </c>
      <c r="F66">
        <v>10</v>
      </c>
      <c r="G66">
        <v>7</v>
      </c>
      <c r="H66" s="1" t="s">
        <v>184</v>
      </c>
      <c r="I66" t="s">
        <v>185</v>
      </c>
      <c r="J66" t="s">
        <v>186</v>
      </c>
      <c r="K66" t="s">
        <v>187</v>
      </c>
      <c r="L66" t="s">
        <v>188</v>
      </c>
      <c r="M66" t="s">
        <v>189</v>
      </c>
      <c r="N66" t="s">
        <v>190</v>
      </c>
      <c r="O66" s="6">
        <v>889661.15970099997</v>
      </c>
      <c r="P66" s="6">
        <v>-4.4872573990999998</v>
      </c>
      <c r="Q66" s="6">
        <v>-7.4800089999999999</v>
      </c>
      <c r="R66" s="6">
        <v>7.4800089999999999</v>
      </c>
      <c r="S66">
        <v>13</v>
      </c>
      <c r="T66" t="s">
        <v>191</v>
      </c>
      <c r="U66">
        <v>69</v>
      </c>
      <c r="V66" t="s">
        <v>192</v>
      </c>
      <c r="W66" s="1" t="s">
        <v>203</v>
      </c>
      <c r="X66" s="18">
        <v>0.59989999999999999</v>
      </c>
      <c r="Y66" s="18">
        <v>0.59989999999999999</v>
      </c>
      <c r="Z66" t="s">
        <v>194</v>
      </c>
      <c r="AA66">
        <v>193830</v>
      </c>
      <c r="AB66">
        <v>31128685</v>
      </c>
      <c r="AC66">
        <v>0</v>
      </c>
      <c r="AD66">
        <v>6394368</v>
      </c>
      <c r="AG66">
        <v>20871851</v>
      </c>
      <c r="AJ66">
        <v>192817</v>
      </c>
      <c r="AK66" t="s">
        <v>195</v>
      </c>
      <c r="AL66" t="s">
        <v>204</v>
      </c>
      <c r="AN66" t="s">
        <v>197</v>
      </c>
      <c r="AO66">
        <v>0.57489999999999997</v>
      </c>
      <c r="AP66">
        <v>121.080091</v>
      </c>
      <c r="AQ66" t="s">
        <v>54</v>
      </c>
      <c r="AR66" t="s">
        <v>198</v>
      </c>
      <c r="AS66" t="s">
        <v>199</v>
      </c>
      <c r="AT66" t="s">
        <v>200</v>
      </c>
    </row>
    <row r="67" spans="1:46" x14ac:dyDescent="0.3">
      <c r="A67">
        <v>3</v>
      </c>
      <c r="B67" s="5">
        <v>46302.298379629632</v>
      </c>
      <c r="C67" s="5">
        <v>46302.34002314815</v>
      </c>
      <c r="D67">
        <v>174653930</v>
      </c>
      <c r="E67">
        <v>2026</v>
      </c>
      <c r="F67">
        <v>10</v>
      </c>
      <c r="G67">
        <v>7</v>
      </c>
      <c r="H67" s="1" t="s">
        <v>184</v>
      </c>
      <c r="I67" t="s">
        <v>185</v>
      </c>
      <c r="J67" t="s">
        <v>186</v>
      </c>
      <c r="K67" t="s">
        <v>187</v>
      </c>
      <c r="L67" t="s">
        <v>188</v>
      </c>
      <c r="M67" t="s">
        <v>189</v>
      </c>
      <c r="N67" t="s">
        <v>190</v>
      </c>
      <c r="O67" s="6">
        <v>889653.67969200003</v>
      </c>
      <c r="P67" s="6">
        <v>-4.4719893441999998</v>
      </c>
      <c r="Q67" s="6">
        <v>-7.4545579999999996</v>
      </c>
      <c r="R67" s="6">
        <v>7.4545579999999996</v>
      </c>
      <c r="S67">
        <v>13</v>
      </c>
      <c r="T67" t="s">
        <v>191</v>
      </c>
      <c r="U67">
        <v>69</v>
      </c>
      <c r="V67" t="s">
        <v>192</v>
      </c>
      <c r="W67" s="1" t="s">
        <v>201</v>
      </c>
      <c r="X67" s="18">
        <v>0.59989999999999999</v>
      </c>
      <c r="Y67" s="18">
        <v>0.59989999999999999</v>
      </c>
      <c r="Z67" t="s">
        <v>194</v>
      </c>
      <c r="AA67">
        <v>193830</v>
      </c>
      <c r="AB67">
        <v>31128702</v>
      </c>
      <c r="AC67">
        <v>0</v>
      </c>
      <c r="AD67">
        <v>6394368</v>
      </c>
      <c r="AG67">
        <v>20712950</v>
      </c>
      <c r="AJ67">
        <v>194436</v>
      </c>
      <c r="AK67" t="s">
        <v>195</v>
      </c>
      <c r="AL67" t="s">
        <v>202</v>
      </c>
      <c r="AN67" t="s">
        <v>197</v>
      </c>
      <c r="AO67">
        <v>0.57489999999999997</v>
      </c>
      <c r="AP67">
        <v>121.09409100000001</v>
      </c>
      <c r="AQ67" t="s">
        <v>56</v>
      </c>
      <c r="AR67" t="s">
        <v>198</v>
      </c>
      <c r="AS67" t="s">
        <v>199</v>
      </c>
      <c r="AT67" t="s">
        <v>200</v>
      </c>
    </row>
    <row r="68" spans="1:46" x14ac:dyDescent="0.3">
      <c r="A68">
        <v>3</v>
      </c>
      <c r="B68" s="5">
        <v>46302.299699074072</v>
      </c>
      <c r="C68" s="5">
        <v>46302.34134259259</v>
      </c>
      <c r="D68">
        <v>174654166</v>
      </c>
      <c r="E68">
        <v>2026</v>
      </c>
      <c r="F68">
        <v>10</v>
      </c>
      <c r="G68">
        <v>7</v>
      </c>
      <c r="H68" s="1" t="s">
        <v>184</v>
      </c>
      <c r="I68" t="s">
        <v>185</v>
      </c>
      <c r="J68" t="s">
        <v>186</v>
      </c>
      <c r="K68" t="s">
        <v>187</v>
      </c>
      <c r="L68" t="s">
        <v>188</v>
      </c>
      <c r="M68" t="s">
        <v>189</v>
      </c>
      <c r="N68" t="s">
        <v>190</v>
      </c>
      <c r="O68" s="6">
        <v>889646.22513399995</v>
      </c>
      <c r="P68" s="6">
        <v>-4.4872573990999998</v>
      </c>
      <c r="Q68" s="6">
        <v>-7.4800089999999999</v>
      </c>
      <c r="R68" s="6">
        <v>7.4800089999999999</v>
      </c>
      <c r="S68">
        <v>13</v>
      </c>
      <c r="T68" t="s">
        <v>191</v>
      </c>
      <c r="U68">
        <v>69</v>
      </c>
      <c r="V68" t="s">
        <v>192</v>
      </c>
      <c r="W68" s="1" t="s">
        <v>203</v>
      </c>
      <c r="X68" s="18">
        <v>0.59989999999999999</v>
      </c>
      <c r="Y68" s="18">
        <v>0.59989999999999999</v>
      </c>
      <c r="Z68" t="s">
        <v>194</v>
      </c>
      <c r="AA68">
        <v>193830</v>
      </c>
      <c r="AB68">
        <v>31128741</v>
      </c>
      <c r="AC68">
        <v>0</v>
      </c>
      <c r="AD68">
        <v>6394368</v>
      </c>
      <c r="AG68">
        <v>20871851</v>
      </c>
      <c r="AJ68">
        <v>192817</v>
      </c>
      <c r="AK68" t="s">
        <v>195</v>
      </c>
      <c r="AL68" t="s">
        <v>204</v>
      </c>
      <c r="AN68" t="s">
        <v>197</v>
      </c>
      <c r="AO68">
        <v>0.57489999999999997</v>
      </c>
      <c r="AP68">
        <v>121.080091</v>
      </c>
      <c r="AQ68" t="s">
        <v>54</v>
      </c>
      <c r="AR68" t="s">
        <v>198</v>
      </c>
      <c r="AS68" t="s">
        <v>199</v>
      </c>
      <c r="AT68" t="s">
        <v>200</v>
      </c>
    </row>
    <row r="69" spans="1:46" x14ac:dyDescent="0.3">
      <c r="A69">
        <v>3</v>
      </c>
      <c r="B69" s="5">
        <v>46302.300740740742</v>
      </c>
      <c r="C69" s="5">
        <v>46302.34238425926</v>
      </c>
      <c r="D69">
        <v>174654273</v>
      </c>
      <c r="E69">
        <v>2026</v>
      </c>
      <c r="F69">
        <v>10</v>
      </c>
      <c r="G69">
        <v>7</v>
      </c>
      <c r="H69" s="1" t="s">
        <v>184</v>
      </c>
      <c r="I69" t="s">
        <v>185</v>
      </c>
      <c r="J69" t="s">
        <v>186</v>
      </c>
      <c r="K69" t="s">
        <v>187</v>
      </c>
      <c r="L69" t="s">
        <v>188</v>
      </c>
      <c r="M69" t="s">
        <v>189</v>
      </c>
      <c r="N69" t="s">
        <v>190</v>
      </c>
      <c r="O69" s="6">
        <v>889638.74512500002</v>
      </c>
      <c r="P69" s="6">
        <v>-4.4872573990999998</v>
      </c>
      <c r="Q69" s="6">
        <v>-7.4800089999999999</v>
      </c>
      <c r="R69" s="6">
        <v>7.4800089999999999</v>
      </c>
      <c r="S69">
        <v>13</v>
      </c>
      <c r="T69" t="s">
        <v>191</v>
      </c>
      <c r="U69">
        <v>69</v>
      </c>
      <c r="V69" t="s">
        <v>192</v>
      </c>
      <c r="W69" s="1" t="s">
        <v>203</v>
      </c>
      <c r="X69" s="18">
        <v>0.59989999999999999</v>
      </c>
      <c r="Y69" s="18">
        <v>0.59989999999999999</v>
      </c>
      <c r="Z69" t="s">
        <v>194</v>
      </c>
      <c r="AA69">
        <v>193830</v>
      </c>
      <c r="AB69">
        <v>31128758</v>
      </c>
      <c r="AC69">
        <v>0</v>
      </c>
      <c r="AD69">
        <v>6394368</v>
      </c>
      <c r="AG69">
        <v>20871851</v>
      </c>
      <c r="AJ69">
        <v>192817</v>
      </c>
      <c r="AK69" t="s">
        <v>195</v>
      </c>
      <c r="AL69" t="s">
        <v>204</v>
      </c>
      <c r="AN69" t="s">
        <v>197</v>
      </c>
      <c r="AO69">
        <v>0.57489999999999997</v>
      </c>
      <c r="AP69">
        <v>121.080091</v>
      </c>
      <c r="AQ69" t="s">
        <v>54</v>
      </c>
      <c r="AR69" t="s">
        <v>198</v>
      </c>
      <c r="AS69" t="s">
        <v>199</v>
      </c>
      <c r="AT69" t="s">
        <v>200</v>
      </c>
    </row>
    <row r="70" spans="1:46" x14ac:dyDescent="0.3">
      <c r="A70">
        <v>3</v>
      </c>
      <c r="B70" s="5">
        <v>46302.30091435185</v>
      </c>
      <c r="C70" s="5">
        <v>46302.342557870368</v>
      </c>
      <c r="D70">
        <v>174654301</v>
      </c>
      <c r="E70">
        <v>2026</v>
      </c>
      <c r="F70">
        <v>10</v>
      </c>
      <c r="G70">
        <v>7</v>
      </c>
      <c r="H70" s="1" t="s">
        <v>184</v>
      </c>
      <c r="I70" t="s">
        <v>185</v>
      </c>
      <c r="J70" t="s">
        <v>186</v>
      </c>
      <c r="K70" t="s">
        <v>187</v>
      </c>
      <c r="L70" t="s">
        <v>188</v>
      </c>
      <c r="M70" t="s">
        <v>189</v>
      </c>
      <c r="N70" t="s">
        <v>190</v>
      </c>
      <c r="O70" s="6">
        <v>889631.26511599997</v>
      </c>
      <c r="P70" s="6">
        <v>-4.4719893441999998</v>
      </c>
      <c r="Q70" s="6">
        <v>-7.4545579999999996</v>
      </c>
      <c r="R70" s="6">
        <v>7.4545579999999996</v>
      </c>
      <c r="S70">
        <v>13</v>
      </c>
      <c r="T70" t="s">
        <v>191</v>
      </c>
      <c r="U70">
        <v>69</v>
      </c>
      <c r="V70" t="s">
        <v>192</v>
      </c>
      <c r="W70" s="1" t="s">
        <v>201</v>
      </c>
      <c r="X70" s="18">
        <v>0.59989999999999999</v>
      </c>
      <c r="Y70" s="18">
        <v>0.59989999999999999</v>
      </c>
      <c r="Z70" t="s">
        <v>194</v>
      </c>
      <c r="AA70">
        <v>193830</v>
      </c>
      <c r="AB70">
        <v>31128762</v>
      </c>
      <c r="AC70">
        <v>0</v>
      </c>
      <c r="AD70">
        <v>6394368</v>
      </c>
      <c r="AG70">
        <v>20712950</v>
      </c>
      <c r="AJ70">
        <v>194436</v>
      </c>
      <c r="AK70" t="s">
        <v>195</v>
      </c>
      <c r="AL70" t="s">
        <v>202</v>
      </c>
      <c r="AN70" t="s">
        <v>197</v>
      </c>
      <c r="AO70">
        <v>0.57489999999999997</v>
      </c>
      <c r="AP70">
        <v>121.09409100000001</v>
      </c>
      <c r="AQ70" t="s">
        <v>56</v>
      </c>
      <c r="AR70" t="s">
        <v>198</v>
      </c>
      <c r="AS70" t="s">
        <v>199</v>
      </c>
      <c r="AT70" t="s">
        <v>200</v>
      </c>
    </row>
    <row r="71" spans="1:46" x14ac:dyDescent="0.3">
      <c r="A71">
        <v>3</v>
      </c>
      <c r="B71" s="5">
        <v>46302.301666666666</v>
      </c>
      <c r="C71" s="5">
        <v>46302.343310185184</v>
      </c>
      <c r="D71">
        <v>174654455</v>
      </c>
      <c r="E71">
        <v>2026</v>
      </c>
      <c r="F71">
        <v>10</v>
      </c>
      <c r="G71">
        <v>7</v>
      </c>
      <c r="H71" s="1" t="s">
        <v>184</v>
      </c>
      <c r="I71" t="s">
        <v>185</v>
      </c>
      <c r="J71" t="s">
        <v>186</v>
      </c>
      <c r="K71" t="s">
        <v>187</v>
      </c>
      <c r="L71" t="s">
        <v>188</v>
      </c>
      <c r="M71" t="s">
        <v>189</v>
      </c>
      <c r="N71" t="s">
        <v>190</v>
      </c>
      <c r="O71" s="6">
        <v>889623.810558</v>
      </c>
      <c r="P71" s="6">
        <v>-4.4872573990999998</v>
      </c>
      <c r="Q71" s="6">
        <v>-7.4800089999999999</v>
      </c>
      <c r="R71" s="6">
        <v>7.4800089999999999</v>
      </c>
      <c r="S71">
        <v>13</v>
      </c>
      <c r="T71" t="s">
        <v>191</v>
      </c>
      <c r="U71">
        <v>69</v>
      </c>
      <c r="V71" t="s">
        <v>192</v>
      </c>
      <c r="W71" s="1" t="s">
        <v>203</v>
      </c>
      <c r="X71" s="18">
        <v>0.59989999999999999</v>
      </c>
      <c r="Y71" s="18">
        <v>0.59989999999999999</v>
      </c>
      <c r="Z71" t="s">
        <v>194</v>
      </c>
      <c r="AA71">
        <v>193830</v>
      </c>
      <c r="AB71">
        <v>31128792</v>
      </c>
      <c r="AC71">
        <v>0</v>
      </c>
      <c r="AD71">
        <v>6394368</v>
      </c>
      <c r="AG71">
        <v>20871851</v>
      </c>
      <c r="AJ71">
        <v>192817</v>
      </c>
      <c r="AK71" t="s">
        <v>195</v>
      </c>
      <c r="AL71" t="s">
        <v>204</v>
      </c>
      <c r="AN71" t="s">
        <v>197</v>
      </c>
      <c r="AO71">
        <v>0.57489999999999997</v>
      </c>
      <c r="AP71">
        <v>121.080091</v>
      </c>
      <c r="AQ71" t="s">
        <v>54</v>
      </c>
      <c r="AR71" t="s">
        <v>198</v>
      </c>
      <c r="AS71" t="s">
        <v>199</v>
      </c>
      <c r="AT71" t="s">
        <v>200</v>
      </c>
    </row>
    <row r="72" spans="1:46" x14ac:dyDescent="0.3">
      <c r="A72">
        <v>3</v>
      </c>
      <c r="B72" s="5">
        <v>46302.301782407405</v>
      </c>
      <c r="C72" s="5">
        <v>46302.3434375</v>
      </c>
      <c r="D72">
        <v>174654470</v>
      </c>
      <c r="E72">
        <v>2026</v>
      </c>
      <c r="F72">
        <v>10</v>
      </c>
      <c r="G72">
        <v>7</v>
      </c>
      <c r="H72" s="1" t="s">
        <v>184</v>
      </c>
      <c r="I72" t="s">
        <v>185</v>
      </c>
      <c r="J72" t="s">
        <v>186</v>
      </c>
      <c r="K72" t="s">
        <v>187</v>
      </c>
      <c r="L72" t="s">
        <v>188</v>
      </c>
      <c r="M72" t="s">
        <v>189</v>
      </c>
      <c r="N72" t="s">
        <v>190</v>
      </c>
      <c r="O72" s="6">
        <v>889616.33054899995</v>
      </c>
      <c r="P72" s="6">
        <v>-4.4719893441999998</v>
      </c>
      <c r="Q72" s="6">
        <v>-7.4545579999999996</v>
      </c>
      <c r="R72" s="6">
        <v>7.4545579999999996</v>
      </c>
      <c r="S72">
        <v>13</v>
      </c>
      <c r="T72" t="s">
        <v>191</v>
      </c>
      <c r="U72">
        <v>69</v>
      </c>
      <c r="V72" t="s">
        <v>192</v>
      </c>
      <c r="W72" s="1" t="s">
        <v>201</v>
      </c>
      <c r="X72" s="18">
        <v>0.59989999999999999</v>
      </c>
      <c r="Y72" s="18">
        <v>0.59989999999999999</v>
      </c>
      <c r="Z72" t="s">
        <v>194</v>
      </c>
      <c r="AA72">
        <v>193830</v>
      </c>
      <c r="AB72">
        <v>31128794</v>
      </c>
      <c r="AC72">
        <v>0</v>
      </c>
      <c r="AD72">
        <v>6394368</v>
      </c>
      <c r="AG72">
        <v>20712950</v>
      </c>
      <c r="AJ72">
        <v>194436</v>
      </c>
      <c r="AK72" t="s">
        <v>195</v>
      </c>
      <c r="AL72" t="s">
        <v>202</v>
      </c>
      <c r="AN72" t="s">
        <v>197</v>
      </c>
      <c r="AO72">
        <v>0.57489999999999997</v>
      </c>
      <c r="AP72">
        <v>121.09409100000001</v>
      </c>
      <c r="AQ72" t="s">
        <v>56</v>
      </c>
      <c r="AR72" t="s">
        <v>198</v>
      </c>
      <c r="AS72" t="s">
        <v>199</v>
      </c>
      <c r="AT72" t="s">
        <v>200</v>
      </c>
    </row>
    <row r="73" spans="1:46" x14ac:dyDescent="0.3">
      <c r="A73">
        <v>3</v>
      </c>
      <c r="B73" s="5">
        <v>46302.302870370368</v>
      </c>
      <c r="C73" s="5">
        <v>46302.344513888886</v>
      </c>
      <c r="D73">
        <v>174654666</v>
      </c>
      <c r="E73">
        <v>2026</v>
      </c>
      <c r="F73">
        <v>10</v>
      </c>
      <c r="G73">
        <v>7</v>
      </c>
      <c r="H73" s="1" t="s">
        <v>184</v>
      </c>
      <c r="I73" t="s">
        <v>185</v>
      </c>
      <c r="J73" t="s">
        <v>186</v>
      </c>
      <c r="K73" t="s">
        <v>187</v>
      </c>
      <c r="L73" t="s">
        <v>188</v>
      </c>
      <c r="M73" t="s">
        <v>189</v>
      </c>
      <c r="N73" t="s">
        <v>190</v>
      </c>
      <c r="O73" s="6">
        <v>889608.87599099998</v>
      </c>
      <c r="P73" s="6">
        <v>-4.4872573990999998</v>
      </c>
      <c r="Q73" s="6">
        <v>-7.4800089999999999</v>
      </c>
      <c r="R73" s="6">
        <v>7.4800089999999999</v>
      </c>
      <c r="S73">
        <v>13</v>
      </c>
      <c r="T73" t="s">
        <v>191</v>
      </c>
      <c r="U73">
        <v>69</v>
      </c>
      <c r="V73" t="s">
        <v>192</v>
      </c>
      <c r="W73" s="1" t="s">
        <v>203</v>
      </c>
      <c r="X73" s="18">
        <v>0.59989999999999999</v>
      </c>
      <c r="Y73" s="18">
        <v>0.59989999999999999</v>
      </c>
      <c r="Z73" t="s">
        <v>194</v>
      </c>
      <c r="AA73">
        <v>193830</v>
      </c>
      <c r="AB73">
        <v>31128825</v>
      </c>
      <c r="AC73">
        <v>0</v>
      </c>
      <c r="AD73">
        <v>6394368</v>
      </c>
      <c r="AG73">
        <v>20871851</v>
      </c>
      <c r="AJ73">
        <v>192817</v>
      </c>
      <c r="AK73" t="s">
        <v>195</v>
      </c>
      <c r="AL73" t="s">
        <v>204</v>
      </c>
      <c r="AN73" t="s">
        <v>197</v>
      </c>
      <c r="AO73">
        <v>0.57489999999999997</v>
      </c>
      <c r="AP73">
        <v>121.080091</v>
      </c>
      <c r="AQ73" t="s">
        <v>54</v>
      </c>
      <c r="AR73" t="s">
        <v>198</v>
      </c>
      <c r="AS73" t="s">
        <v>199</v>
      </c>
      <c r="AT73" t="s">
        <v>200</v>
      </c>
    </row>
    <row r="74" spans="1:46" x14ac:dyDescent="0.3">
      <c r="A74">
        <v>3</v>
      </c>
      <c r="B74" s="5">
        <v>46302.303981481484</v>
      </c>
      <c r="C74" s="5">
        <v>46302.345625000002</v>
      </c>
      <c r="D74">
        <v>174654910</v>
      </c>
      <c r="E74">
        <v>2026</v>
      </c>
      <c r="F74">
        <v>10</v>
      </c>
      <c r="G74">
        <v>7</v>
      </c>
      <c r="H74" s="1" t="s">
        <v>184</v>
      </c>
      <c r="I74" t="s">
        <v>185</v>
      </c>
      <c r="J74" t="s">
        <v>186</v>
      </c>
      <c r="K74" t="s">
        <v>187</v>
      </c>
      <c r="L74" t="s">
        <v>188</v>
      </c>
      <c r="M74" t="s">
        <v>189</v>
      </c>
      <c r="N74" t="s">
        <v>190</v>
      </c>
      <c r="O74" s="6">
        <v>889601.39598200005</v>
      </c>
      <c r="P74" s="6">
        <v>-5.8914037357</v>
      </c>
      <c r="Q74" s="6">
        <v>-9.8206430000000005</v>
      </c>
      <c r="R74" s="6">
        <v>9.8206430000000005</v>
      </c>
      <c r="S74">
        <v>13</v>
      </c>
      <c r="T74" t="s">
        <v>191</v>
      </c>
      <c r="U74">
        <v>69</v>
      </c>
      <c r="V74" t="s">
        <v>192</v>
      </c>
      <c r="W74" s="1" t="s">
        <v>205</v>
      </c>
      <c r="X74" s="18">
        <v>0.59989999999999999</v>
      </c>
      <c r="Y74" s="18">
        <v>0.59989999999999999</v>
      </c>
      <c r="Z74" t="s">
        <v>194</v>
      </c>
      <c r="AA74">
        <v>193830</v>
      </c>
      <c r="AB74">
        <v>31128884</v>
      </c>
      <c r="AC74">
        <v>0</v>
      </c>
      <c r="AD74">
        <v>6394368</v>
      </c>
      <c r="AG74">
        <v>20768074</v>
      </c>
      <c r="AJ74">
        <v>197576</v>
      </c>
      <c r="AK74" t="s">
        <v>195</v>
      </c>
      <c r="AL74" t="s">
        <v>206</v>
      </c>
      <c r="AN74" t="s">
        <v>197</v>
      </c>
      <c r="AO74">
        <v>0.57489999999999997</v>
      </c>
      <c r="AP74">
        <v>120.04309120000001</v>
      </c>
      <c r="AQ74" t="s">
        <v>39</v>
      </c>
      <c r="AR74" t="s">
        <v>198</v>
      </c>
      <c r="AS74" t="s">
        <v>199</v>
      </c>
      <c r="AT74" t="s">
        <v>200</v>
      </c>
    </row>
    <row r="75" spans="1:46" x14ac:dyDescent="0.3">
      <c r="A75">
        <v>3</v>
      </c>
      <c r="B75" s="5">
        <v>46302.306041666663</v>
      </c>
      <c r="C75" s="5">
        <v>46302.347685185188</v>
      </c>
      <c r="D75">
        <v>174655423</v>
      </c>
      <c r="E75">
        <v>2026</v>
      </c>
      <c r="F75">
        <v>10</v>
      </c>
      <c r="G75">
        <v>7</v>
      </c>
      <c r="H75" s="1" t="s">
        <v>184</v>
      </c>
      <c r="I75" t="s">
        <v>185</v>
      </c>
      <c r="J75" t="s">
        <v>186</v>
      </c>
      <c r="K75" t="s">
        <v>187</v>
      </c>
      <c r="L75" t="s">
        <v>188</v>
      </c>
      <c r="M75" t="s">
        <v>189</v>
      </c>
      <c r="N75" t="s">
        <v>190</v>
      </c>
      <c r="O75" s="6">
        <v>889591.57533899997</v>
      </c>
      <c r="P75" s="6">
        <v>-5.8914037357</v>
      </c>
      <c r="Q75" s="6">
        <v>-9.8206430000000005</v>
      </c>
      <c r="R75" s="6">
        <v>9.8206430000000005</v>
      </c>
      <c r="S75">
        <v>13</v>
      </c>
      <c r="T75" t="s">
        <v>191</v>
      </c>
      <c r="U75">
        <v>69</v>
      </c>
      <c r="V75" t="s">
        <v>192</v>
      </c>
      <c r="W75" s="1" t="s">
        <v>205</v>
      </c>
      <c r="X75" s="18">
        <v>0.59989999999999999</v>
      </c>
      <c r="Y75" s="18">
        <v>0.59989999999999999</v>
      </c>
      <c r="Z75" t="s">
        <v>194</v>
      </c>
      <c r="AA75">
        <v>193830</v>
      </c>
      <c r="AB75">
        <v>31128973</v>
      </c>
      <c r="AC75">
        <v>0</v>
      </c>
      <c r="AD75">
        <v>6394368</v>
      </c>
      <c r="AG75">
        <v>20768074</v>
      </c>
      <c r="AJ75">
        <v>197576</v>
      </c>
      <c r="AK75" t="s">
        <v>195</v>
      </c>
      <c r="AL75" t="s">
        <v>206</v>
      </c>
      <c r="AN75" t="s">
        <v>197</v>
      </c>
      <c r="AO75">
        <v>0.57489999999999997</v>
      </c>
      <c r="AP75">
        <v>120.04309120000001</v>
      </c>
      <c r="AQ75" t="s">
        <v>39</v>
      </c>
      <c r="AR75" t="s">
        <v>198</v>
      </c>
      <c r="AS75" t="s">
        <v>199</v>
      </c>
      <c r="AT75" t="s">
        <v>200</v>
      </c>
    </row>
    <row r="76" spans="1:46" x14ac:dyDescent="0.3">
      <c r="A76">
        <v>3</v>
      </c>
      <c r="B76" s="5">
        <v>46302.307870370372</v>
      </c>
      <c r="C76" s="5">
        <v>46302.34951388889</v>
      </c>
      <c r="D76">
        <v>174655683</v>
      </c>
      <c r="E76">
        <v>2026</v>
      </c>
      <c r="F76">
        <v>10</v>
      </c>
      <c r="G76">
        <v>7</v>
      </c>
      <c r="H76" s="1" t="s">
        <v>184</v>
      </c>
      <c r="I76" t="s">
        <v>185</v>
      </c>
      <c r="J76" t="s">
        <v>186</v>
      </c>
      <c r="K76" t="s">
        <v>187</v>
      </c>
      <c r="L76" t="s">
        <v>188</v>
      </c>
      <c r="M76" t="s">
        <v>189</v>
      </c>
      <c r="N76" t="s">
        <v>190</v>
      </c>
      <c r="O76" s="6">
        <v>889581.75469600002</v>
      </c>
      <c r="P76" s="6">
        <v>-4.4719893441999998</v>
      </c>
      <c r="Q76" s="6">
        <v>-7.4545579999999996</v>
      </c>
      <c r="R76" s="6">
        <v>7.4545579999999996</v>
      </c>
      <c r="S76">
        <v>13</v>
      </c>
      <c r="T76" t="s">
        <v>191</v>
      </c>
      <c r="U76">
        <v>69</v>
      </c>
      <c r="V76" t="s">
        <v>192</v>
      </c>
      <c r="W76" s="1" t="s">
        <v>201</v>
      </c>
      <c r="X76" s="18">
        <v>0.59989999999999999</v>
      </c>
      <c r="Y76" s="18">
        <v>0.59989999999999999</v>
      </c>
      <c r="Z76" t="s">
        <v>194</v>
      </c>
      <c r="AA76">
        <v>193830</v>
      </c>
      <c r="AB76">
        <v>31129028</v>
      </c>
      <c r="AC76">
        <v>0</v>
      </c>
      <c r="AD76">
        <v>6394368</v>
      </c>
      <c r="AG76">
        <v>20712950</v>
      </c>
      <c r="AJ76">
        <v>194436</v>
      </c>
      <c r="AK76" t="s">
        <v>195</v>
      </c>
      <c r="AL76" t="s">
        <v>202</v>
      </c>
      <c r="AN76" t="s">
        <v>197</v>
      </c>
      <c r="AO76">
        <v>0.57489999999999997</v>
      </c>
      <c r="AP76">
        <v>121.09409100000001</v>
      </c>
      <c r="AQ76" t="s">
        <v>56</v>
      </c>
      <c r="AR76" t="s">
        <v>198</v>
      </c>
      <c r="AS76" t="s">
        <v>199</v>
      </c>
      <c r="AT76" t="s">
        <v>200</v>
      </c>
    </row>
    <row r="77" spans="1:46" x14ac:dyDescent="0.3">
      <c r="A77">
        <v>3</v>
      </c>
      <c r="B77" s="5">
        <v>46302.307870370372</v>
      </c>
      <c r="C77" s="5">
        <v>46302.34952546296</v>
      </c>
      <c r="D77">
        <v>174655698</v>
      </c>
      <c r="E77">
        <v>2026</v>
      </c>
      <c r="F77">
        <v>10</v>
      </c>
      <c r="G77">
        <v>7</v>
      </c>
      <c r="H77" s="1" t="s">
        <v>184</v>
      </c>
      <c r="I77" t="s">
        <v>185</v>
      </c>
      <c r="J77" t="s">
        <v>186</v>
      </c>
      <c r="K77" t="s">
        <v>187</v>
      </c>
      <c r="L77" t="s">
        <v>188</v>
      </c>
      <c r="M77" t="s">
        <v>189</v>
      </c>
      <c r="N77" t="s">
        <v>190</v>
      </c>
      <c r="O77" s="6">
        <v>889574.30013800005</v>
      </c>
      <c r="P77" s="6">
        <v>-4.4872573990999998</v>
      </c>
      <c r="Q77" s="6">
        <v>-7.4800089999999999</v>
      </c>
      <c r="R77" s="6">
        <v>7.4800089999999999</v>
      </c>
      <c r="S77">
        <v>13</v>
      </c>
      <c r="T77" t="s">
        <v>191</v>
      </c>
      <c r="U77">
        <v>69</v>
      </c>
      <c r="V77" t="s">
        <v>192</v>
      </c>
      <c r="W77" s="1" t="s">
        <v>203</v>
      </c>
      <c r="X77" s="18">
        <v>0.59989999999999999</v>
      </c>
      <c r="Y77" s="18">
        <v>0.59989999999999999</v>
      </c>
      <c r="Z77" t="s">
        <v>194</v>
      </c>
      <c r="AA77">
        <v>193830</v>
      </c>
      <c r="AB77">
        <v>31129029</v>
      </c>
      <c r="AC77">
        <v>0</v>
      </c>
      <c r="AD77">
        <v>6394368</v>
      </c>
      <c r="AG77">
        <v>20871851</v>
      </c>
      <c r="AJ77">
        <v>192817</v>
      </c>
      <c r="AK77" t="s">
        <v>195</v>
      </c>
      <c r="AL77" t="s">
        <v>204</v>
      </c>
      <c r="AN77" t="s">
        <v>197</v>
      </c>
      <c r="AO77">
        <v>0.57489999999999997</v>
      </c>
      <c r="AP77">
        <v>121.080091</v>
      </c>
      <c r="AQ77" t="s">
        <v>54</v>
      </c>
      <c r="AR77" t="s">
        <v>198</v>
      </c>
      <c r="AS77" t="s">
        <v>199</v>
      </c>
      <c r="AT77" t="s">
        <v>200</v>
      </c>
    </row>
    <row r="78" spans="1:46" x14ac:dyDescent="0.3">
      <c r="A78">
        <v>3</v>
      </c>
      <c r="B78" s="5">
        <v>46302.309247685182</v>
      </c>
      <c r="C78" s="5">
        <v>46302.350891203707</v>
      </c>
      <c r="D78">
        <v>174656110</v>
      </c>
      <c r="E78">
        <v>2026</v>
      </c>
      <c r="F78">
        <v>10</v>
      </c>
      <c r="G78">
        <v>7</v>
      </c>
      <c r="H78" s="1" t="s">
        <v>184</v>
      </c>
      <c r="I78" t="s">
        <v>185</v>
      </c>
      <c r="J78" t="s">
        <v>186</v>
      </c>
      <c r="K78" t="s">
        <v>187</v>
      </c>
      <c r="L78" t="s">
        <v>188</v>
      </c>
      <c r="M78" t="s">
        <v>189</v>
      </c>
      <c r="N78" t="s">
        <v>190</v>
      </c>
      <c r="O78" s="6">
        <v>889566.820129</v>
      </c>
      <c r="P78" s="6">
        <v>-4.4872573990999998</v>
      </c>
      <c r="Q78" s="6">
        <v>-7.4800089999999999</v>
      </c>
      <c r="R78" s="6">
        <v>7.4800089999999999</v>
      </c>
      <c r="S78">
        <v>13</v>
      </c>
      <c r="T78" t="s">
        <v>191</v>
      </c>
      <c r="U78">
        <v>69</v>
      </c>
      <c r="V78" t="s">
        <v>192</v>
      </c>
      <c r="W78" s="1" t="s">
        <v>203</v>
      </c>
      <c r="X78" s="18">
        <v>0.59989999999999999</v>
      </c>
      <c r="Y78" s="18">
        <v>0.59989999999999999</v>
      </c>
      <c r="Z78" t="s">
        <v>194</v>
      </c>
      <c r="AA78">
        <v>193830</v>
      </c>
      <c r="AB78">
        <v>31129094</v>
      </c>
      <c r="AC78">
        <v>0</v>
      </c>
      <c r="AD78">
        <v>6394368</v>
      </c>
      <c r="AG78">
        <v>20871851</v>
      </c>
      <c r="AJ78">
        <v>192817</v>
      </c>
      <c r="AK78" t="s">
        <v>195</v>
      </c>
      <c r="AL78" t="s">
        <v>204</v>
      </c>
      <c r="AN78" t="s">
        <v>197</v>
      </c>
      <c r="AO78">
        <v>0.57489999999999997</v>
      </c>
      <c r="AP78">
        <v>121.080091</v>
      </c>
      <c r="AQ78" t="s">
        <v>54</v>
      </c>
      <c r="AR78" t="s">
        <v>198</v>
      </c>
      <c r="AS78" t="s">
        <v>199</v>
      </c>
      <c r="AT78" t="s">
        <v>200</v>
      </c>
    </row>
    <row r="79" spans="1:46" x14ac:dyDescent="0.3">
      <c r="A79">
        <v>3</v>
      </c>
      <c r="B79" s="5">
        <v>46302.310219907406</v>
      </c>
      <c r="C79" s="5">
        <v>46302.351863425924</v>
      </c>
      <c r="D79">
        <v>174656276</v>
      </c>
      <c r="E79">
        <v>2026</v>
      </c>
      <c r="F79">
        <v>10</v>
      </c>
      <c r="G79">
        <v>7</v>
      </c>
      <c r="H79" s="1" t="s">
        <v>184</v>
      </c>
      <c r="I79" t="s">
        <v>185</v>
      </c>
      <c r="J79" t="s">
        <v>186</v>
      </c>
      <c r="K79" t="s">
        <v>187</v>
      </c>
      <c r="L79" t="s">
        <v>188</v>
      </c>
      <c r="M79" t="s">
        <v>189</v>
      </c>
      <c r="N79" t="s">
        <v>190</v>
      </c>
      <c r="O79" s="6">
        <v>889559.34011999995</v>
      </c>
      <c r="P79" s="6">
        <v>-4.4872573990999998</v>
      </c>
      <c r="Q79" s="6">
        <v>-7.4800089999999999</v>
      </c>
      <c r="R79" s="6">
        <v>7.4800089999999999</v>
      </c>
      <c r="S79">
        <v>13</v>
      </c>
      <c r="T79" t="s">
        <v>191</v>
      </c>
      <c r="U79">
        <v>69</v>
      </c>
      <c r="V79" t="s">
        <v>192</v>
      </c>
      <c r="W79" s="1" t="s">
        <v>203</v>
      </c>
      <c r="X79" s="18">
        <v>0.59989999999999999</v>
      </c>
      <c r="Y79" s="18">
        <v>0.59989999999999999</v>
      </c>
      <c r="Z79" t="s">
        <v>194</v>
      </c>
      <c r="AA79">
        <v>193830</v>
      </c>
      <c r="AB79">
        <v>31129112</v>
      </c>
      <c r="AC79">
        <v>0</v>
      </c>
      <c r="AD79">
        <v>6394368</v>
      </c>
      <c r="AG79">
        <v>20871851</v>
      </c>
      <c r="AJ79">
        <v>192817</v>
      </c>
      <c r="AK79" t="s">
        <v>195</v>
      </c>
      <c r="AL79" t="s">
        <v>204</v>
      </c>
      <c r="AN79" t="s">
        <v>197</v>
      </c>
      <c r="AO79">
        <v>0.57489999999999997</v>
      </c>
      <c r="AP79">
        <v>121.080091</v>
      </c>
      <c r="AQ79" t="s">
        <v>54</v>
      </c>
      <c r="AR79" t="s">
        <v>198</v>
      </c>
      <c r="AS79" t="s">
        <v>199</v>
      </c>
      <c r="AT79" t="s">
        <v>200</v>
      </c>
    </row>
    <row r="80" spans="1:46" x14ac:dyDescent="0.3">
      <c r="A80">
        <v>3</v>
      </c>
      <c r="B80" s="5">
        <v>46302.310393518521</v>
      </c>
      <c r="C80" s="5">
        <v>46302.352037037039</v>
      </c>
      <c r="D80">
        <v>174656290</v>
      </c>
      <c r="E80">
        <v>2026</v>
      </c>
      <c r="F80">
        <v>10</v>
      </c>
      <c r="G80">
        <v>7</v>
      </c>
      <c r="H80" s="1" t="s">
        <v>184</v>
      </c>
      <c r="I80" t="s">
        <v>185</v>
      </c>
      <c r="J80" t="s">
        <v>186</v>
      </c>
      <c r="K80" t="s">
        <v>187</v>
      </c>
      <c r="L80" t="s">
        <v>188</v>
      </c>
      <c r="M80" t="s">
        <v>189</v>
      </c>
      <c r="N80" t="s">
        <v>190</v>
      </c>
      <c r="O80" s="6">
        <v>889551.86011100002</v>
      </c>
      <c r="P80" s="6">
        <v>-4.4719893441999998</v>
      </c>
      <c r="Q80" s="6">
        <v>-7.4545579999999996</v>
      </c>
      <c r="R80" s="6">
        <v>7.4545579999999996</v>
      </c>
      <c r="S80">
        <v>13</v>
      </c>
      <c r="T80" t="s">
        <v>191</v>
      </c>
      <c r="U80">
        <v>69</v>
      </c>
      <c r="V80" t="s">
        <v>192</v>
      </c>
      <c r="W80" s="1" t="s">
        <v>201</v>
      </c>
      <c r="X80" s="18">
        <v>0.59989999999999999</v>
      </c>
      <c r="Y80" s="18">
        <v>0.59989999999999999</v>
      </c>
      <c r="Z80" t="s">
        <v>194</v>
      </c>
      <c r="AA80">
        <v>193830</v>
      </c>
      <c r="AB80">
        <v>31129114</v>
      </c>
      <c r="AC80">
        <v>0</v>
      </c>
      <c r="AD80">
        <v>6394368</v>
      </c>
      <c r="AG80">
        <v>20712950</v>
      </c>
      <c r="AJ80">
        <v>194436</v>
      </c>
      <c r="AK80" t="s">
        <v>195</v>
      </c>
      <c r="AL80" t="s">
        <v>202</v>
      </c>
      <c r="AN80" t="s">
        <v>197</v>
      </c>
      <c r="AO80">
        <v>0.57489999999999997</v>
      </c>
      <c r="AP80">
        <v>121.09409100000001</v>
      </c>
      <c r="AQ80" t="s">
        <v>56</v>
      </c>
      <c r="AR80" t="s">
        <v>198</v>
      </c>
      <c r="AS80" t="s">
        <v>199</v>
      </c>
      <c r="AT80" t="s">
        <v>200</v>
      </c>
    </row>
    <row r="81" spans="1:46" x14ac:dyDescent="0.3">
      <c r="A81">
        <v>3</v>
      </c>
      <c r="B81" s="5">
        <v>46302.311041666668</v>
      </c>
      <c r="C81" s="5">
        <v>46302.352696759262</v>
      </c>
      <c r="D81">
        <v>174656456</v>
      </c>
      <c r="E81">
        <v>2026</v>
      </c>
      <c r="F81">
        <v>10</v>
      </c>
      <c r="G81">
        <v>7</v>
      </c>
      <c r="H81" s="1" t="s">
        <v>184</v>
      </c>
      <c r="I81" t="s">
        <v>185</v>
      </c>
      <c r="J81" t="s">
        <v>186</v>
      </c>
      <c r="K81" t="s">
        <v>187</v>
      </c>
      <c r="L81" t="s">
        <v>188</v>
      </c>
      <c r="M81" t="s">
        <v>189</v>
      </c>
      <c r="N81" t="s">
        <v>190</v>
      </c>
      <c r="O81" s="6">
        <v>889544.40555300005</v>
      </c>
      <c r="P81" s="6">
        <v>-4.4872573990999998</v>
      </c>
      <c r="Q81" s="6">
        <v>-7.4800089999999999</v>
      </c>
      <c r="R81" s="6">
        <v>7.4800089999999999</v>
      </c>
      <c r="S81">
        <v>13</v>
      </c>
      <c r="T81" t="s">
        <v>191</v>
      </c>
      <c r="U81">
        <v>69</v>
      </c>
      <c r="V81" t="s">
        <v>192</v>
      </c>
      <c r="W81" s="1" t="s">
        <v>203</v>
      </c>
      <c r="X81" s="18">
        <v>0.59989999999999999</v>
      </c>
      <c r="Y81" s="18">
        <v>0.59989999999999999</v>
      </c>
      <c r="Z81" t="s">
        <v>194</v>
      </c>
      <c r="AA81">
        <v>193830</v>
      </c>
      <c r="AB81">
        <v>31129131</v>
      </c>
      <c r="AC81">
        <v>0</v>
      </c>
      <c r="AD81">
        <v>6394368</v>
      </c>
      <c r="AG81">
        <v>20871851</v>
      </c>
      <c r="AJ81">
        <v>192817</v>
      </c>
      <c r="AK81" t="s">
        <v>195</v>
      </c>
      <c r="AL81" t="s">
        <v>204</v>
      </c>
      <c r="AN81" t="s">
        <v>197</v>
      </c>
      <c r="AO81">
        <v>0.57489999999999997</v>
      </c>
      <c r="AP81">
        <v>121.080091</v>
      </c>
      <c r="AQ81" t="s">
        <v>54</v>
      </c>
      <c r="AR81" t="s">
        <v>198</v>
      </c>
      <c r="AS81" t="s">
        <v>199</v>
      </c>
      <c r="AT81" t="s">
        <v>200</v>
      </c>
    </row>
    <row r="82" spans="1:46" x14ac:dyDescent="0.3">
      <c r="A82">
        <v>3</v>
      </c>
      <c r="B82" s="5">
        <v>46302.311851851853</v>
      </c>
      <c r="C82" s="5">
        <v>46302.353495370371</v>
      </c>
      <c r="D82">
        <v>174656594</v>
      </c>
      <c r="E82">
        <v>2026</v>
      </c>
      <c r="F82">
        <v>10</v>
      </c>
      <c r="G82">
        <v>7</v>
      </c>
      <c r="H82" s="1" t="s">
        <v>184</v>
      </c>
      <c r="I82" t="s">
        <v>185</v>
      </c>
      <c r="J82" t="s">
        <v>186</v>
      </c>
      <c r="K82" t="s">
        <v>187</v>
      </c>
      <c r="L82" t="s">
        <v>188</v>
      </c>
      <c r="M82" t="s">
        <v>189</v>
      </c>
      <c r="N82" t="s">
        <v>190</v>
      </c>
      <c r="O82" s="6">
        <v>889536.925544</v>
      </c>
      <c r="P82" s="6">
        <v>-4.4719893441999998</v>
      </c>
      <c r="Q82" s="6">
        <v>-7.4545579999999996</v>
      </c>
      <c r="R82" s="6">
        <v>7.4545579999999996</v>
      </c>
      <c r="S82">
        <v>13</v>
      </c>
      <c r="T82" t="s">
        <v>191</v>
      </c>
      <c r="U82">
        <v>69</v>
      </c>
      <c r="V82" t="s">
        <v>192</v>
      </c>
      <c r="W82" s="1" t="s">
        <v>201</v>
      </c>
      <c r="X82" s="18">
        <v>0.59989999999999999</v>
      </c>
      <c r="Y82" s="18">
        <v>0.59989999999999999</v>
      </c>
      <c r="Z82" t="s">
        <v>194</v>
      </c>
      <c r="AA82">
        <v>193830</v>
      </c>
      <c r="AB82">
        <v>31129154</v>
      </c>
      <c r="AC82">
        <v>0</v>
      </c>
      <c r="AD82">
        <v>6394368</v>
      </c>
      <c r="AG82">
        <v>20712950</v>
      </c>
      <c r="AJ82">
        <v>194436</v>
      </c>
      <c r="AK82" t="s">
        <v>195</v>
      </c>
      <c r="AL82" t="s">
        <v>202</v>
      </c>
      <c r="AN82" t="s">
        <v>197</v>
      </c>
      <c r="AO82">
        <v>0.57489999999999997</v>
      </c>
      <c r="AP82">
        <v>121.09409100000001</v>
      </c>
      <c r="AQ82" t="s">
        <v>56</v>
      </c>
      <c r="AR82" t="s">
        <v>198</v>
      </c>
      <c r="AS82" t="s">
        <v>199</v>
      </c>
      <c r="AT82" t="s">
        <v>200</v>
      </c>
    </row>
    <row r="83" spans="1:46" x14ac:dyDescent="0.3">
      <c r="A83">
        <v>3</v>
      </c>
      <c r="B83" s="5">
        <v>46302.312048611115</v>
      </c>
      <c r="C83" s="5">
        <v>46302.353692129633</v>
      </c>
      <c r="D83">
        <v>174656683</v>
      </c>
      <c r="E83">
        <v>2026</v>
      </c>
      <c r="F83">
        <v>10</v>
      </c>
      <c r="G83">
        <v>7</v>
      </c>
      <c r="H83" s="1" t="s">
        <v>184</v>
      </c>
      <c r="I83" t="s">
        <v>185</v>
      </c>
      <c r="J83" t="s">
        <v>186</v>
      </c>
      <c r="K83" t="s">
        <v>187</v>
      </c>
      <c r="L83" t="s">
        <v>188</v>
      </c>
      <c r="M83" t="s">
        <v>189</v>
      </c>
      <c r="N83" t="s">
        <v>190</v>
      </c>
      <c r="O83" s="6">
        <v>889529.47098600003</v>
      </c>
      <c r="P83" s="6">
        <v>-4.4872573990999998</v>
      </c>
      <c r="Q83" s="6">
        <v>-7.4800089999999999</v>
      </c>
      <c r="R83" s="6">
        <v>7.4800089999999999</v>
      </c>
      <c r="S83">
        <v>13</v>
      </c>
      <c r="T83" t="s">
        <v>191</v>
      </c>
      <c r="U83">
        <v>69</v>
      </c>
      <c r="V83" t="s">
        <v>192</v>
      </c>
      <c r="W83" s="1" t="s">
        <v>203</v>
      </c>
      <c r="X83" s="18">
        <v>0.59989999999999999</v>
      </c>
      <c r="Y83" s="18">
        <v>0.59989999999999999</v>
      </c>
      <c r="Z83" t="s">
        <v>194</v>
      </c>
      <c r="AA83">
        <v>193830</v>
      </c>
      <c r="AB83">
        <v>31129181</v>
      </c>
      <c r="AC83">
        <v>0</v>
      </c>
      <c r="AD83">
        <v>6394368</v>
      </c>
      <c r="AG83">
        <v>20871851</v>
      </c>
      <c r="AJ83">
        <v>192817</v>
      </c>
      <c r="AK83" t="s">
        <v>195</v>
      </c>
      <c r="AL83" t="s">
        <v>204</v>
      </c>
      <c r="AN83" t="s">
        <v>197</v>
      </c>
      <c r="AO83">
        <v>0.57489999999999997</v>
      </c>
      <c r="AP83">
        <v>121.080091</v>
      </c>
      <c r="AQ83" t="s">
        <v>54</v>
      </c>
      <c r="AR83" t="s">
        <v>198</v>
      </c>
      <c r="AS83" t="s">
        <v>199</v>
      </c>
      <c r="AT83" t="s">
        <v>200</v>
      </c>
    </row>
    <row r="84" spans="1:46" x14ac:dyDescent="0.3">
      <c r="A84">
        <v>3</v>
      </c>
      <c r="B84" s="5">
        <v>46302.312800925924</v>
      </c>
      <c r="C84" s="5">
        <v>46302.354444444441</v>
      </c>
      <c r="D84">
        <v>174656811</v>
      </c>
      <c r="E84">
        <v>2026</v>
      </c>
      <c r="F84">
        <v>10</v>
      </c>
      <c r="G84">
        <v>7</v>
      </c>
      <c r="H84" s="1" t="s">
        <v>184</v>
      </c>
      <c r="I84" t="s">
        <v>185</v>
      </c>
      <c r="J84" t="s">
        <v>186</v>
      </c>
      <c r="K84" t="s">
        <v>187</v>
      </c>
      <c r="L84" t="s">
        <v>188</v>
      </c>
      <c r="M84" t="s">
        <v>189</v>
      </c>
      <c r="N84" t="s">
        <v>190</v>
      </c>
      <c r="O84" s="6">
        <v>889521.99097699998</v>
      </c>
      <c r="P84" s="6">
        <v>-4.4872573990999998</v>
      </c>
      <c r="Q84" s="6">
        <v>-7.4800089999999999</v>
      </c>
      <c r="R84" s="6">
        <v>7.4800089999999999</v>
      </c>
      <c r="S84">
        <v>13</v>
      </c>
      <c r="T84" t="s">
        <v>191</v>
      </c>
      <c r="U84">
        <v>69</v>
      </c>
      <c r="V84" t="s">
        <v>192</v>
      </c>
      <c r="W84" s="1" t="s">
        <v>203</v>
      </c>
      <c r="X84" s="18">
        <v>0.59989999999999999</v>
      </c>
      <c r="Y84" s="18">
        <v>0.59989999999999999</v>
      </c>
      <c r="Z84" t="s">
        <v>194</v>
      </c>
      <c r="AA84">
        <v>193830</v>
      </c>
      <c r="AB84">
        <v>31129212</v>
      </c>
      <c r="AC84">
        <v>0</v>
      </c>
      <c r="AD84">
        <v>6394368</v>
      </c>
      <c r="AG84">
        <v>20871851</v>
      </c>
      <c r="AJ84">
        <v>192817</v>
      </c>
      <c r="AK84" t="s">
        <v>195</v>
      </c>
      <c r="AL84" t="s">
        <v>204</v>
      </c>
      <c r="AN84" t="s">
        <v>197</v>
      </c>
      <c r="AO84">
        <v>0.57489999999999997</v>
      </c>
      <c r="AP84">
        <v>121.080091</v>
      </c>
      <c r="AQ84" t="s">
        <v>54</v>
      </c>
      <c r="AR84" t="s">
        <v>198</v>
      </c>
      <c r="AS84" t="s">
        <v>199</v>
      </c>
      <c r="AT84" t="s">
        <v>200</v>
      </c>
    </row>
    <row r="85" spans="1:46" x14ac:dyDescent="0.3">
      <c r="A85">
        <v>3</v>
      </c>
      <c r="B85" s="5">
        <v>46302.314259259256</v>
      </c>
      <c r="C85" s="5">
        <v>46302.355902777781</v>
      </c>
      <c r="D85">
        <v>174657112</v>
      </c>
      <c r="E85">
        <v>2026</v>
      </c>
      <c r="F85">
        <v>10</v>
      </c>
      <c r="G85">
        <v>7</v>
      </c>
      <c r="H85" s="1" t="s">
        <v>184</v>
      </c>
      <c r="I85" t="s">
        <v>185</v>
      </c>
      <c r="J85" t="s">
        <v>186</v>
      </c>
      <c r="K85" t="s">
        <v>187</v>
      </c>
      <c r="L85" t="s">
        <v>188</v>
      </c>
      <c r="M85" t="s">
        <v>189</v>
      </c>
      <c r="N85" t="s">
        <v>190</v>
      </c>
      <c r="O85" s="6">
        <v>889514.51096800005</v>
      </c>
      <c r="P85" s="6">
        <v>-5.8914037357</v>
      </c>
      <c r="Q85" s="6">
        <v>-9.8206430000000005</v>
      </c>
      <c r="R85" s="6">
        <v>9.8206430000000005</v>
      </c>
      <c r="S85">
        <v>13</v>
      </c>
      <c r="T85" t="s">
        <v>191</v>
      </c>
      <c r="U85">
        <v>69</v>
      </c>
      <c r="V85" t="s">
        <v>192</v>
      </c>
      <c r="W85" s="1" t="s">
        <v>205</v>
      </c>
      <c r="X85" s="18">
        <v>0.59989999999999999</v>
      </c>
      <c r="Y85" s="18">
        <v>0.59989999999999999</v>
      </c>
      <c r="Z85" t="s">
        <v>194</v>
      </c>
      <c r="AA85">
        <v>193830</v>
      </c>
      <c r="AB85">
        <v>31129258</v>
      </c>
      <c r="AC85">
        <v>0</v>
      </c>
      <c r="AD85">
        <v>6394368</v>
      </c>
      <c r="AG85">
        <v>20768074</v>
      </c>
      <c r="AJ85">
        <v>197576</v>
      </c>
      <c r="AK85" t="s">
        <v>195</v>
      </c>
      <c r="AL85" t="s">
        <v>206</v>
      </c>
      <c r="AN85" t="s">
        <v>197</v>
      </c>
      <c r="AO85">
        <v>0.57489999999999997</v>
      </c>
      <c r="AP85">
        <v>120.04309120000001</v>
      </c>
      <c r="AQ85" t="s">
        <v>39</v>
      </c>
      <c r="AR85" t="s">
        <v>198</v>
      </c>
      <c r="AS85" t="s">
        <v>199</v>
      </c>
      <c r="AT85" t="s">
        <v>200</v>
      </c>
    </row>
    <row r="86" spans="1:46" x14ac:dyDescent="0.3">
      <c r="A86">
        <v>3</v>
      </c>
      <c r="B86" s="5">
        <v>46302.315138888887</v>
      </c>
      <c r="C86" s="5">
        <v>46302.356782407405</v>
      </c>
      <c r="D86">
        <v>174657310</v>
      </c>
      <c r="E86">
        <v>2026</v>
      </c>
      <c r="F86">
        <v>10</v>
      </c>
      <c r="G86">
        <v>7</v>
      </c>
      <c r="H86" s="1" t="s">
        <v>184</v>
      </c>
      <c r="I86" t="s">
        <v>185</v>
      </c>
      <c r="J86" t="s">
        <v>186</v>
      </c>
      <c r="K86" t="s">
        <v>187</v>
      </c>
      <c r="L86" t="s">
        <v>188</v>
      </c>
      <c r="M86" t="s">
        <v>189</v>
      </c>
      <c r="N86" t="s">
        <v>190</v>
      </c>
      <c r="O86" s="6">
        <v>889504.69032499997</v>
      </c>
      <c r="P86" s="6">
        <v>-5.8914037357</v>
      </c>
      <c r="Q86" s="6">
        <v>-9.8206430000000005</v>
      </c>
      <c r="R86" s="6">
        <v>9.8206430000000005</v>
      </c>
      <c r="S86">
        <v>13</v>
      </c>
      <c r="T86" t="s">
        <v>191</v>
      </c>
      <c r="U86">
        <v>69</v>
      </c>
      <c r="V86" t="s">
        <v>192</v>
      </c>
      <c r="W86" s="1" t="s">
        <v>205</v>
      </c>
      <c r="X86" s="18">
        <v>0.59989999999999999</v>
      </c>
      <c r="Y86" s="18">
        <v>0.59989999999999999</v>
      </c>
      <c r="Z86" t="s">
        <v>194</v>
      </c>
      <c r="AA86">
        <v>193830</v>
      </c>
      <c r="AB86">
        <v>31129308</v>
      </c>
      <c r="AC86">
        <v>0</v>
      </c>
      <c r="AD86">
        <v>6394368</v>
      </c>
      <c r="AG86">
        <v>20768074</v>
      </c>
      <c r="AJ86">
        <v>197576</v>
      </c>
      <c r="AK86" t="s">
        <v>195</v>
      </c>
      <c r="AL86" t="s">
        <v>206</v>
      </c>
      <c r="AN86" t="s">
        <v>197</v>
      </c>
      <c r="AO86">
        <v>0.57489999999999997</v>
      </c>
      <c r="AP86">
        <v>120.04309120000001</v>
      </c>
      <c r="AQ86" t="s">
        <v>39</v>
      </c>
      <c r="AR86" t="s">
        <v>198</v>
      </c>
      <c r="AS86" t="s">
        <v>199</v>
      </c>
      <c r="AT86" t="s">
        <v>200</v>
      </c>
    </row>
    <row r="87" spans="1:46" x14ac:dyDescent="0.3">
      <c r="A87">
        <v>3</v>
      </c>
      <c r="B87" s="5">
        <v>46302.315567129626</v>
      </c>
      <c r="C87" s="5">
        <v>46302.357210648152</v>
      </c>
      <c r="D87">
        <v>174657357</v>
      </c>
      <c r="E87">
        <v>2026</v>
      </c>
      <c r="F87">
        <v>10</v>
      </c>
      <c r="G87">
        <v>7</v>
      </c>
      <c r="H87" s="1" t="s">
        <v>184</v>
      </c>
      <c r="I87" t="s">
        <v>185</v>
      </c>
      <c r="J87" t="s">
        <v>186</v>
      </c>
      <c r="K87" t="s">
        <v>187</v>
      </c>
      <c r="L87" t="s">
        <v>188</v>
      </c>
      <c r="M87" t="s">
        <v>189</v>
      </c>
      <c r="N87" t="s">
        <v>190</v>
      </c>
      <c r="O87" s="6">
        <v>889494.86968200002</v>
      </c>
      <c r="P87" s="6">
        <v>-4.4719893441999998</v>
      </c>
      <c r="Q87" s="6">
        <v>-7.4545579999999996</v>
      </c>
      <c r="R87" s="6">
        <v>7.4545579999999996</v>
      </c>
      <c r="S87">
        <v>13</v>
      </c>
      <c r="T87" t="s">
        <v>191</v>
      </c>
      <c r="U87">
        <v>69</v>
      </c>
      <c r="V87" t="s">
        <v>192</v>
      </c>
      <c r="W87" s="1" t="s">
        <v>201</v>
      </c>
      <c r="X87" s="18">
        <v>0.59989999999999999</v>
      </c>
      <c r="Y87" s="18">
        <v>0.59989999999999999</v>
      </c>
      <c r="Z87" t="s">
        <v>194</v>
      </c>
      <c r="AA87">
        <v>193830</v>
      </c>
      <c r="AB87">
        <v>31129316</v>
      </c>
      <c r="AC87">
        <v>0</v>
      </c>
      <c r="AD87">
        <v>6394368</v>
      </c>
      <c r="AG87">
        <v>20712950</v>
      </c>
      <c r="AJ87">
        <v>194436</v>
      </c>
      <c r="AK87" t="s">
        <v>195</v>
      </c>
      <c r="AL87" t="s">
        <v>202</v>
      </c>
      <c r="AN87" t="s">
        <v>197</v>
      </c>
      <c r="AO87">
        <v>0.57489999999999997</v>
      </c>
      <c r="AP87">
        <v>121.09409100000001</v>
      </c>
      <c r="AQ87" t="s">
        <v>56</v>
      </c>
      <c r="AR87" t="s">
        <v>198</v>
      </c>
      <c r="AS87" t="s">
        <v>199</v>
      </c>
      <c r="AT87" t="s">
        <v>200</v>
      </c>
    </row>
    <row r="88" spans="1:46" x14ac:dyDescent="0.3">
      <c r="A88">
        <v>3</v>
      </c>
      <c r="B88" s="5">
        <v>46302.315983796296</v>
      </c>
      <c r="C88" s="5">
        <v>46302.357627314814</v>
      </c>
      <c r="D88">
        <v>174657497</v>
      </c>
      <c r="E88">
        <v>2026</v>
      </c>
      <c r="F88">
        <v>10</v>
      </c>
      <c r="G88">
        <v>7</v>
      </c>
      <c r="H88" s="1" t="s">
        <v>184</v>
      </c>
      <c r="I88" t="s">
        <v>185</v>
      </c>
      <c r="J88" t="s">
        <v>186</v>
      </c>
      <c r="K88" t="s">
        <v>187</v>
      </c>
      <c r="L88" t="s">
        <v>188</v>
      </c>
      <c r="M88" t="s">
        <v>189</v>
      </c>
      <c r="N88" t="s">
        <v>190</v>
      </c>
      <c r="O88" s="6">
        <v>889487.41512400005</v>
      </c>
      <c r="P88" s="6">
        <v>-5.8914037357</v>
      </c>
      <c r="Q88" s="6">
        <v>-9.8206430000000005</v>
      </c>
      <c r="R88" s="6">
        <v>9.8206430000000005</v>
      </c>
      <c r="S88">
        <v>13</v>
      </c>
      <c r="T88" t="s">
        <v>191</v>
      </c>
      <c r="U88">
        <v>69</v>
      </c>
      <c r="V88" t="s">
        <v>192</v>
      </c>
      <c r="W88" s="1" t="s">
        <v>205</v>
      </c>
      <c r="X88" s="18">
        <v>0.59989999999999999</v>
      </c>
      <c r="Y88" s="18">
        <v>0.59989999999999999</v>
      </c>
      <c r="Z88" t="s">
        <v>194</v>
      </c>
      <c r="AA88">
        <v>193830</v>
      </c>
      <c r="AB88">
        <v>31129339</v>
      </c>
      <c r="AC88">
        <v>0</v>
      </c>
      <c r="AD88">
        <v>6394368</v>
      </c>
      <c r="AG88">
        <v>20768074</v>
      </c>
      <c r="AJ88">
        <v>197576</v>
      </c>
      <c r="AK88" t="s">
        <v>195</v>
      </c>
      <c r="AL88" t="s">
        <v>206</v>
      </c>
      <c r="AN88" t="s">
        <v>197</v>
      </c>
      <c r="AO88">
        <v>0.57489999999999997</v>
      </c>
      <c r="AP88">
        <v>120.04309120000001</v>
      </c>
      <c r="AQ88" t="s">
        <v>39</v>
      </c>
      <c r="AR88" t="s">
        <v>198</v>
      </c>
      <c r="AS88" t="s">
        <v>199</v>
      </c>
      <c r="AT88" t="s">
        <v>200</v>
      </c>
    </row>
    <row r="89" spans="1:46" x14ac:dyDescent="0.3">
      <c r="A89">
        <v>3</v>
      </c>
      <c r="B89" s="5">
        <v>46302.316805555558</v>
      </c>
      <c r="C89" s="5">
        <v>46302.358449074076</v>
      </c>
      <c r="D89">
        <v>174657708</v>
      </c>
      <c r="E89">
        <v>2026</v>
      </c>
      <c r="F89">
        <v>10</v>
      </c>
      <c r="G89">
        <v>7</v>
      </c>
      <c r="H89" s="1" t="s">
        <v>184</v>
      </c>
      <c r="I89" t="s">
        <v>185</v>
      </c>
      <c r="J89" t="s">
        <v>186</v>
      </c>
      <c r="K89" t="s">
        <v>187</v>
      </c>
      <c r="L89" t="s">
        <v>188</v>
      </c>
      <c r="M89" t="s">
        <v>189</v>
      </c>
      <c r="N89" t="s">
        <v>190</v>
      </c>
      <c r="O89" s="6">
        <v>889477.59448099998</v>
      </c>
      <c r="P89" s="6">
        <v>-5.8914037357</v>
      </c>
      <c r="Q89" s="6">
        <v>-9.8206430000000005</v>
      </c>
      <c r="R89" s="6">
        <v>9.8206430000000005</v>
      </c>
      <c r="S89">
        <v>13</v>
      </c>
      <c r="T89" t="s">
        <v>191</v>
      </c>
      <c r="U89">
        <v>69</v>
      </c>
      <c r="V89" t="s">
        <v>192</v>
      </c>
      <c r="W89" s="1" t="s">
        <v>205</v>
      </c>
      <c r="X89" s="18">
        <v>0.59989999999999999</v>
      </c>
      <c r="Y89" s="18">
        <v>0.59989999999999999</v>
      </c>
      <c r="Z89" t="s">
        <v>194</v>
      </c>
      <c r="AA89">
        <v>193830</v>
      </c>
      <c r="AB89">
        <v>31129365</v>
      </c>
      <c r="AC89">
        <v>0</v>
      </c>
      <c r="AD89">
        <v>6394368</v>
      </c>
      <c r="AG89">
        <v>20768074</v>
      </c>
      <c r="AJ89">
        <v>197576</v>
      </c>
      <c r="AK89" t="s">
        <v>195</v>
      </c>
      <c r="AL89" t="s">
        <v>206</v>
      </c>
      <c r="AN89" t="s">
        <v>197</v>
      </c>
      <c r="AO89">
        <v>0.57489999999999997</v>
      </c>
      <c r="AP89">
        <v>120.04309120000001</v>
      </c>
      <c r="AQ89" t="s">
        <v>39</v>
      </c>
      <c r="AR89" t="s">
        <v>198</v>
      </c>
      <c r="AS89" t="s">
        <v>199</v>
      </c>
      <c r="AT89" t="s">
        <v>200</v>
      </c>
    </row>
    <row r="90" spans="1:46" x14ac:dyDescent="0.3">
      <c r="A90">
        <v>3</v>
      </c>
      <c r="B90" s="5">
        <v>46302.318333333336</v>
      </c>
      <c r="C90" s="5">
        <v>46302.359976851854</v>
      </c>
      <c r="D90">
        <v>174657929</v>
      </c>
      <c r="E90">
        <v>2026</v>
      </c>
      <c r="F90">
        <v>10</v>
      </c>
      <c r="G90">
        <v>7</v>
      </c>
      <c r="H90" s="1" t="s">
        <v>184</v>
      </c>
      <c r="I90" t="s">
        <v>185</v>
      </c>
      <c r="J90" t="s">
        <v>186</v>
      </c>
      <c r="K90" t="s">
        <v>187</v>
      </c>
      <c r="L90" t="s">
        <v>188</v>
      </c>
      <c r="M90" t="s">
        <v>189</v>
      </c>
      <c r="N90" t="s">
        <v>190</v>
      </c>
      <c r="O90" s="6">
        <v>889467.77383800002</v>
      </c>
      <c r="P90" s="6">
        <v>-4.4872573990999998</v>
      </c>
      <c r="Q90" s="6">
        <v>-7.4800089999999999</v>
      </c>
      <c r="R90" s="6">
        <v>7.4800089999999999</v>
      </c>
      <c r="S90">
        <v>13</v>
      </c>
      <c r="T90" t="s">
        <v>191</v>
      </c>
      <c r="U90">
        <v>69</v>
      </c>
      <c r="V90" t="s">
        <v>192</v>
      </c>
      <c r="W90" s="1" t="s">
        <v>203</v>
      </c>
      <c r="X90" s="18">
        <v>0.59989999999999999</v>
      </c>
      <c r="Y90" s="18">
        <v>0.59989999999999999</v>
      </c>
      <c r="Z90" t="s">
        <v>194</v>
      </c>
      <c r="AA90">
        <v>193830</v>
      </c>
      <c r="AB90">
        <v>31129404</v>
      </c>
      <c r="AC90">
        <v>0</v>
      </c>
      <c r="AD90">
        <v>6394368</v>
      </c>
      <c r="AG90">
        <v>20871851</v>
      </c>
      <c r="AJ90">
        <v>192817</v>
      </c>
      <c r="AK90" t="s">
        <v>195</v>
      </c>
      <c r="AL90" t="s">
        <v>204</v>
      </c>
      <c r="AN90" t="s">
        <v>197</v>
      </c>
      <c r="AO90">
        <v>0.57489999999999997</v>
      </c>
      <c r="AP90">
        <v>121.080091</v>
      </c>
      <c r="AQ90" t="s">
        <v>54</v>
      </c>
      <c r="AR90" t="s">
        <v>198</v>
      </c>
      <c r="AS90" t="s">
        <v>199</v>
      </c>
      <c r="AT90" t="s">
        <v>200</v>
      </c>
    </row>
    <row r="91" spans="1:46" x14ac:dyDescent="0.3">
      <c r="A91">
        <v>3</v>
      </c>
      <c r="B91" s="5">
        <v>46302.31931712963</v>
      </c>
      <c r="C91" s="5">
        <v>46302.360972222225</v>
      </c>
      <c r="D91">
        <v>174658175</v>
      </c>
      <c r="E91">
        <v>2026</v>
      </c>
      <c r="F91">
        <v>10</v>
      </c>
      <c r="G91">
        <v>7</v>
      </c>
      <c r="H91" s="1" t="s">
        <v>184</v>
      </c>
      <c r="I91" t="s">
        <v>185</v>
      </c>
      <c r="J91" t="s">
        <v>186</v>
      </c>
      <c r="K91" t="s">
        <v>187</v>
      </c>
      <c r="L91" t="s">
        <v>188</v>
      </c>
      <c r="M91" t="s">
        <v>189</v>
      </c>
      <c r="N91" t="s">
        <v>190</v>
      </c>
      <c r="O91" s="6">
        <v>889460.29382899997</v>
      </c>
      <c r="P91" s="6">
        <v>-4.4872573990999998</v>
      </c>
      <c r="Q91" s="6">
        <v>-7.4800089999999999</v>
      </c>
      <c r="R91" s="6">
        <v>7.4800089999999999</v>
      </c>
      <c r="S91">
        <v>13</v>
      </c>
      <c r="T91" t="s">
        <v>191</v>
      </c>
      <c r="U91">
        <v>69</v>
      </c>
      <c r="V91" t="s">
        <v>192</v>
      </c>
      <c r="W91" s="1" t="s">
        <v>203</v>
      </c>
      <c r="X91" s="18">
        <v>0.59989999999999999</v>
      </c>
      <c r="Y91" s="18">
        <v>0.59989999999999999</v>
      </c>
      <c r="Z91" t="s">
        <v>194</v>
      </c>
      <c r="AA91">
        <v>193830</v>
      </c>
      <c r="AB91">
        <v>31129438</v>
      </c>
      <c r="AC91">
        <v>0</v>
      </c>
      <c r="AD91">
        <v>6394368</v>
      </c>
      <c r="AG91">
        <v>20871851</v>
      </c>
      <c r="AJ91">
        <v>192817</v>
      </c>
      <c r="AK91" t="s">
        <v>195</v>
      </c>
      <c r="AL91" t="s">
        <v>204</v>
      </c>
      <c r="AN91" t="s">
        <v>197</v>
      </c>
      <c r="AO91">
        <v>0.57489999999999997</v>
      </c>
      <c r="AP91">
        <v>121.080091</v>
      </c>
      <c r="AQ91" t="s">
        <v>54</v>
      </c>
      <c r="AR91" t="s">
        <v>198</v>
      </c>
      <c r="AS91" t="s">
        <v>199</v>
      </c>
      <c r="AT91" t="s">
        <v>200</v>
      </c>
    </row>
    <row r="92" spans="1:46" x14ac:dyDescent="0.3">
      <c r="A92">
        <v>3</v>
      </c>
      <c r="B92" s="5">
        <v>46302.320115740738</v>
      </c>
      <c r="C92" s="5">
        <v>46302.361770833333</v>
      </c>
      <c r="D92">
        <v>174658334</v>
      </c>
      <c r="E92">
        <v>2026</v>
      </c>
      <c r="F92">
        <v>10</v>
      </c>
      <c r="G92">
        <v>7</v>
      </c>
      <c r="H92" s="1" t="s">
        <v>184</v>
      </c>
      <c r="I92" t="s">
        <v>185</v>
      </c>
      <c r="J92" t="s">
        <v>186</v>
      </c>
      <c r="K92" t="s">
        <v>187</v>
      </c>
      <c r="L92" t="s">
        <v>188</v>
      </c>
      <c r="M92" t="s">
        <v>189</v>
      </c>
      <c r="N92" t="s">
        <v>190</v>
      </c>
      <c r="O92" s="6">
        <v>889452.81382000004</v>
      </c>
      <c r="P92" s="6">
        <v>-4.4872573990999998</v>
      </c>
      <c r="Q92" s="6">
        <v>-7.4800089999999999</v>
      </c>
      <c r="R92" s="6">
        <v>7.4800089999999999</v>
      </c>
      <c r="S92">
        <v>13</v>
      </c>
      <c r="T92" t="s">
        <v>191</v>
      </c>
      <c r="U92">
        <v>69</v>
      </c>
      <c r="V92" t="s">
        <v>192</v>
      </c>
      <c r="W92" s="1" t="s">
        <v>203</v>
      </c>
      <c r="X92" s="18">
        <v>0.59989999999999999</v>
      </c>
      <c r="Y92" s="18">
        <v>0.59989999999999999</v>
      </c>
      <c r="Z92" t="s">
        <v>194</v>
      </c>
      <c r="AA92">
        <v>193830</v>
      </c>
      <c r="AB92">
        <v>31129482</v>
      </c>
      <c r="AC92">
        <v>0</v>
      </c>
      <c r="AD92">
        <v>6394368</v>
      </c>
      <c r="AG92">
        <v>20871851</v>
      </c>
      <c r="AJ92">
        <v>192817</v>
      </c>
      <c r="AK92" t="s">
        <v>195</v>
      </c>
      <c r="AL92" t="s">
        <v>204</v>
      </c>
      <c r="AN92" t="s">
        <v>197</v>
      </c>
      <c r="AO92">
        <v>0.57489999999999997</v>
      </c>
      <c r="AP92">
        <v>121.080091</v>
      </c>
      <c r="AQ92" t="s">
        <v>54</v>
      </c>
      <c r="AR92" t="s">
        <v>198</v>
      </c>
      <c r="AS92" t="s">
        <v>199</v>
      </c>
      <c r="AT92" t="s">
        <v>200</v>
      </c>
    </row>
    <row r="93" spans="1:46" x14ac:dyDescent="0.3">
      <c r="A93">
        <v>3</v>
      </c>
      <c r="B93" s="5">
        <v>46302.32099537037</v>
      </c>
      <c r="C93" s="5">
        <v>46302.362638888888</v>
      </c>
      <c r="D93">
        <v>174658446</v>
      </c>
      <c r="E93">
        <v>2026</v>
      </c>
      <c r="F93">
        <v>10</v>
      </c>
      <c r="G93">
        <v>7</v>
      </c>
      <c r="H93" s="1" t="s">
        <v>184</v>
      </c>
      <c r="I93" t="s">
        <v>185</v>
      </c>
      <c r="J93" t="s">
        <v>186</v>
      </c>
      <c r="K93" t="s">
        <v>187</v>
      </c>
      <c r="L93" t="s">
        <v>188</v>
      </c>
      <c r="M93" t="s">
        <v>189</v>
      </c>
      <c r="N93" t="s">
        <v>190</v>
      </c>
      <c r="O93" s="6">
        <v>889445.33381099999</v>
      </c>
      <c r="P93" s="6">
        <v>-4.4719893441999998</v>
      </c>
      <c r="Q93" s="6">
        <v>-7.4545579999999996</v>
      </c>
      <c r="R93" s="6">
        <v>7.4545579999999996</v>
      </c>
      <c r="S93">
        <v>13</v>
      </c>
      <c r="T93" t="s">
        <v>191</v>
      </c>
      <c r="U93">
        <v>69</v>
      </c>
      <c r="V93" t="s">
        <v>192</v>
      </c>
      <c r="W93" s="1" t="s">
        <v>201</v>
      </c>
      <c r="X93" s="18">
        <v>0.59989999999999999</v>
      </c>
      <c r="Y93" s="18">
        <v>0.59989999999999999</v>
      </c>
      <c r="Z93" t="s">
        <v>194</v>
      </c>
      <c r="AA93">
        <v>193830</v>
      </c>
      <c r="AB93">
        <v>31129511</v>
      </c>
      <c r="AC93">
        <v>0</v>
      </c>
      <c r="AD93">
        <v>6394368</v>
      </c>
      <c r="AG93">
        <v>20712950</v>
      </c>
      <c r="AJ93">
        <v>194436</v>
      </c>
      <c r="AK93" t="s">
        <v>195</v>
      </c>
      <c r="AL93" t="s">
        <v>202</v>
      </c>
      <c r="AN93" t="s">
        <v>197</v>
      </c>
      <c r="AO93">
        <v>0.57489999999999997</v>
      </c>
      <c r="AP93">
        <v>121.09409100000001</v>
      </c>
      <c r="AQ93" t="s">
        <v>56</v>
      </c>
      <c r="AR93" t="s">
        <v>198</v>
      </c>
      <c r="AS93" t="s">
        <v>199</v>
      </c>
      <c r="AT93" t="s">
        <v>200</v>
      </c>
    </row>
    <row r="94" spans="1:46" x14ac:dyDescent="0.3">
      <c r="A94">
        <v>3</v>
      </c>
      <c r="B94" s="5">
        <v>46302.321111111109</v>
      </c>
      <c r="C94" s="5">
        <v>46302.362754629627</v>
      </c>
      <c r="D94">
        <v>174658478</v>
      </c>
      <c r="E94">
        <v>2026</v>
      </c>
      <c r="F94">
        <v>10</v>
      </c>
      <c r="G94">
        <v>7</v>
      </c>
      <c r="H94" s="1" t="s">
        <v>184</v>
      </c>
      <c r="I94" t="s">
        <v>185</v>
      </c>
      <c r="J94" t="s">
        <v>186</v>
      </c>
      <c r="K94" t="s">
        <v>187</v>
      </c>
      <c r="L94" t="s">
        <v>188</v>
      </c>
      <c r="M94" t="s">
        <v>189</v>
      </c>
      <c r="N94" t="s">
        <v>190</v>
      </c>
      <c r="O94" s="6">
        <v>889437.87925300002</v>
      </c>
      <c r="P94" s="6">
        <v>-4.4872573990999998</v>
      </c>
      <c r="Q94" s="6">
        <v>-7.4800089999999999</v>
      </c>
      <c r="R94" s="6">
        <v>7.4800089999999999</v>
      </c>
      <c r="S94">
        <v>13</v>
      </c>
      <c r="T94" t="s">
        <v>191</v>
      </c>
      <c r="U94">
        <v>69</v>
      </c>
      <c r="V94" t="s">
        <v>192</v>
      </c>
      <c r="W94" s="1" t="s">
        <v>203</v>
      </c>
      <c r="X94" s="18">
        <v>0.59989999999999999</v>
      </c>
      <c r="Y94" s="18">
        <v>0.59989999999999999</v>
      </c>
      <c r="Z94" t="s">
        <v>194</v>
      </c>
      <c r="AA94">
        <v>193830</v>
      </c>
      <c r="AB94">
        <v>31129513</v>
      </c>
      <c r="AC94">
        <v>0</v>
      </c>
      <c r="AD94">
        <v>6394368</v>
      </c>
      <c r="AG94">
        <v>20871851</v>
      </c>
      <c r="AJ94">
        <v>192817</v>
      </c>
      <c r="AK94" t="s">
        <v>195</v>
      </c>
      <c r="AL94" t="s">
        <v>204</v>
      </c>
      <c r="AN94" t="s">
        <v>197</v>
      </c>
      <c r="AO94">
        <v>0.57489999999999997</v>
      </c>
      <c r="AP94">
        <v>121.080091</v>
      </c>
      <c r="AQ94" t="s">
        <v>54</v>
      </c>
      <c r="AR94" t="s">
        <v>198</v>
      </c>
      <c r="AS94" t="s">
        <v>199</v>
      </c>
      <c r="AT94" t="s">
        <v>200</v>
      </c>
    </row>
    <row r="95" spans="1:46" x14ac:dyDescent="0.3">
      <c r="A95">
        <v>3</v>
      </c>
      <c r="B95" s="5">
        <v>46302.325648148151</v>
      </c>
      <c r="C95" s="5">
        <v>46302.367291666669</v>
      </c>
      <c r="D95">
        <v>174659551</v>
      </c>
      <c r="E95">
        <v>2026</v>
      </c>
      <c r="F95">
        <v>10</v>
      </c>
      <c r="G95">
        <v>7</v>
      </c>
      <c r="H95" s="1" t="s">
        <v>184</v>
      </c>
      <c r="I95" t="s">
        <v>185</v>
      </c>
      <c r="J95" t="s">
        <v>186</v>
      </c>
      <c r="K95" t="s">
        <v>187</v>
      </c>
      <c r="L95" t="s">
        <v>188</v>
      </c>
      <c r="M95" t="s">
        <v>189</v>
      </c>
      <c r="N95" t="s">
        <v>190</v>
      </c>
      <c r="O95" s="6">
        <v>889430.39924399997</v>
      </c>
      <c r="P95" s="6">
        <v>-4.4719893441999998</v>
      </c>
      <c r="Q95" s="6">
        <v>-7.4545579999999996</v>
      </c>
      <c r="R95" s="6">
        <v>7.4545579999999996</v>
      </c>
      <c r="S95">
        <v>13</v>
      </c>
      <c r="T95" t="s">
        <v>191</v>
      </c>
      <c r="U95">
        <v>69</v>
      </c>
      <c r="V95" t="s">
        <v>192</v>
      </c>
      <c r="W95" s="1" t="s">
        <v>201</v>
      </c>
      <c r="X95" s="18">
        <v>0.59989999999999999</v>
      </c>
      <c r="Y95" s="18">
        <v>0.59989999999999999</v>
      </c>
      <c r="Z95" t="s">
        <v>194</v>
      </c>
      <c r="AA95">
        <v>193830</v>
      </c>
      <c r="AB95">
        <v>31129700</v>
      </c>
      <c r="AC95">
        <v>0</v>
      </c>
      <c r="AD95">
        <v>6394368</v>
      </c>
      <c r="AG95">
        <v>20712950</v>
      </c>
      <c r="AJ95">
        <v>194436</v>
      </c>
      <c r="AK95" t="s">
        <v>195</v>
      </c>
      <c r="AL95" t="s">
        <v>202</v>
      </c>
      <c r="AN95" t="s">
        <v>197</v>
      </c>
      <c r="AO95">
        <v>0.57489999999999997</v>
      </c>
      <c r="AP95">
        <v>121.09409100000001</v>
      </c>
      <c r="AQ95" t="s">
        <v>56</v>
      </c>
      <c r="AR95" t="s">
        <v>198</v>
      </c>
      <c r="AS95" t="s">
        <v>199</v>
      </c>
      <c r="AT95" t="s">
        <v>200</v>
      </c>
    </row>
    <row r="96" spans="1:46" x14ac:dyDescent="0.3">
      <c r="A96">
        <v>3</v>
      </c>
      <c r="B96" s="5">
        <v>46302.331365740742</v>
      </c>
      <c r="C96" s="5">
        <v>46302.373020833336</v>
      </c>
      <c r="D96">
        <v>174660879</v>
      </c>
      <c r="E96">
        <v>2026</v>
      </c>
      <c r="F96">
        <v>10</v>
      </c>
      <c r="G96">
        <v>7</v>
      </c>
      <c r="H96" s="1" t="s">
        <v>184</v>
      </c>
      <c r="I96" t="s">
        <v>185</v>
      </c>
      <c r="J96" t="s">
        <v>186</v>
      </c>
      <c r="K96" t="s">
        <v>187</v>
      </c>
      <c r="L96" t="s">
        <v>188</v>
      </c>
      <c r="M96" t="s">
        <v>189</v>
      </c>
      <c r="N96" t="s">
        <v>190</v>
      </c>
      <c r="O96" s="6">
        <v>889422.944686</v>
      </c>
      <c r="P96" s="6">
        <v>-4.4719893441999998</v>
      </c>
      <c r="Q96" s="6">
        <v>-7.4545579999999996</v>
      </c>
      <c r="R96" s="6">
        <v>7.4545579999999996</v>
      </c>
      <c r="S96">
        <v>13</v>
      </c>
      <c r="T96" t="s">
        <v>191</v>
      </c>
      <c r="U96">
        <v>69</v>
      </c>
      <c r="V96" t="s">
        <v>192</v>
      </c>
      <c r="W96" s="1" t="s">
        <v>201</v>
      </c>
      <c r="X96" s="18">
        <v>0.59989999999999999</v>
      </c>
      <c r="Y96" s="18">
        <v>0.59989999999999999</v>
      </c>
      <c r="Z96" t="s">
        <v>194</v>
      </c>
      <c r="AA96">
        <v>193830</v>
      </c>
      <c r="AB96">
        <v>31129963</v>
      </c>
      <c r="AC96">
        <v>0</v>
      </c>
      <c r="AD96">
        <v>6394368</v>
      </c>
      <c r="AG96">
        <v>20712950</v>
      </c>
      <c r="AJ96">
        <v>194436</v>
      </c>
      <c r="AK96" t="s">
        <v>195</v>
      </c>
      <c r="AL96" t="s">
        <v>202</v>
      </c>
      <c r="AN96" t="s">
        <v>197</v>
      </c>
      <c r="AO96">
        <v>0.57489999999999997</v>
      </c>
      <c r="AP96">
        <v>121.09409100000001</v>
      </c>
      <c r="AQ96" t="s">
        <v>56</v>
      </c>
      <c r="AR96" t="s">
        <v>198</v>
      </c>
      <c r="AS96" t="s">
        <v>199</v>
      </c>
      <c r="AT96" t="s">
        <v>200</v>
      </c>
    </row>
    <row r="97" spans="1:46" x14ac:dyDescent="0.3">
      <c r="A97">
        <v>3</v>
      </c>
      <c r="B97" s="5">
        <v>46302.331921296296</v>
      </c>
      <c r="C97" s="5">
        <v>46302.373564814814</v>
      </c>
      <c r="D97">
        <v>174661022</v>
      </c>
      <c r="E97">
        <v>2026</v>
      </c>
      <c r="F97">
        <v>10</v>
      </c>
      <c r="G97">
        <v>7</v>
      </c>
      <c r="H97" s="1" t="s">
        <v>184</v>
      </c>
      <c r="I97" t="s">
        <v>185</v>
      </c>
      <c r="J97" t="s">
        <v>186</v>
      </c>
      <c r="K97" t="s">
        <v>187</v>
      </c>
      <c r="L97" t="s">
        <v>188</v>
      </c>
      <c r="M97" t="s">
        <v>189</v>
      </c>
      <c r="N97" t="s">
        <v>190</v>
      </c>
      <c r="O97" s="6">
        <v>889415.49012800003</v>
      </c>
      <c r="P97" s="6">
        <v>-4.4719893441999998</v>
      </c>
      <c r="Q97" s="6">
        <v>-7.4545579999999996</v>
      </c>
      <c r="R97" s="6">
        <v>7.4545579999999996</v>
      </c>
      <c r="S97">
        <v>13</v>
      </c>
      <c r="T97" t="s">
        <v>191</v>
      </c>
      <c r="U97">
        <v>69</v>
      </c>
      <c r="V97" t="s">
        <v>192</v>
      </c>
      <c r="W97" s="1" t="s">
        <v>201</v>
      </c>
      <c r="X97" s="18">
        <v>0.59989999999999999</v>
      </c>
      <c r="Y97" s="18">
        <v>0.59989999999999999</v>
      </c>
      <c r="Z97" t="s">
        <v>194</v>
      </c>
      <c r="AA97">
        <v>193830</v>
      </c>
      <c r="AB97">
        <v>31129985</v>
      </c>
      <c r="AC97">
        <v>0</v>
      </c>
      <c r="AD97">
        <v>6394368</v>
      </c>
      <c r="AG97">
        <v>20712950</v>
      </c>
      <c r="AJ97">
        <v>194436</v>
      </c>
      <c r="AK97" t="s">
        <v>195</v>
      </c>
      <c r="AL97" t="s">
        <v>202</v>
      </c>
      <c r="AN97" t="s">
        <v>197</v>
      </c>
      <c r="AO97">
        <v>0.57489999999999997</v>
      </c>
      <c r="AP97">
        <v>121.09409100000001</v>
      </c>
      <c r="AQ97" t="s">
        <v>56</v>
      </c>
      <c r="AR97" t="s">
        <v>198</v>
      </c>
      <c r="AS97" t="s">
        <v>199</v>
      </c>
      <c r="AT97" t="s">
        <v>200</v>
      </c>
    </row>
    <row r="98" spans="1:46" x14ac:dyDescent="0.3">
      <c r="A98">
        <v>3</v>
      </c>
      <c r="B98" s="5">
        <v>46302.335451388892</v>
      </c>
      <c r="C98" s="5">
        <v>46302.37709490741</v>
      </c>
      <c r="D98">
        <v>174661681</v>
      </c>
      <c r="E98">
        <v>2026</v>
      </c>
      <c r="F98">
        <v>10</v>
      </c>
      <c r="G98">
        <v>7</v>
      </c>
      <c r="H98" s="1" t="s">
        <v>184</v>
      </c>
      <c r="I98" t="s">
        <v>185</v>
      </c>
      <c r="J98" t="s">
        <v>186</v>
      </c>
      <c r="K98" t="s">
        <v>187</v>
      </c>
      <c r="L98" t="s">
        <v>188</v>
      </c>
      <c r="M98" t="s">
        <v>189</v>
      </c>
      <c r="N98" t="s">
        <v>190</v>
      </c>
      <c r="O98" s="6">
        <v>889408.03556999995</v>
      </c>
      <c r="P98" s="6">
        <v>-4.4719893441999998</v>
      </c>
      <c r="Q98" s="6">
        <v>-7.4545579999999996</v>
      </c>
      <c r="R98" s="6">
        <v>7.4545579999999996</v>
      </c>
      <c r="S98">
        <v>13</v>
      </c>
      <c r="T98" t="s">
        <v>191</v>
      </c>
      <c r="U98">
        <v>69</v>
      </c>
      <c r="V98" t="s">
        <v>192</v>
      </c>
      <c r="W98" s="1" t="s">
        <v>201</v>
      </c>
      <c r="X98" s="18">
        <v>0.59989999999999999</v>
      </c>
      <c r="Y98" s="18">
        <v>0.59989999999999999</v>
      </c>
      <c r="Z98" t="s">
        <v>194</v>
      </c>
      <c r="AA98">
        <v>193830</v>
      </c>
      <c r="AB98">
        <v>31130108</v>
      </c>
      <c r="AC98">
        <v>0</v>
      </c>
      <c r="AD98">
        <v>6394368</v>
      </c>
      <c r="AG98">
        <v>20712950</v>
      </c>
      <c r="AJ98">
        <v>194436</v>
      </c>
      <c r="AK98" t="s">
        <v>195</v>
      </c>
      <c r="AL98" t="s">
        <v>202</v>
      </c>
      <c r="AN98" t="s">
        <v>197</v>
      </c>
      <c r="AO98">
        <v>0.57489999999999997</v>
      </c>
      <c r="AP98">
        <v>121.09409100000001</v>
      </c>
      <c r="AQ98" t="s">
        <v>56</v>
      </c>
      <c r="AR98" t="s">
        <v>198</v>
      </c>
      <c r="AS98" t="s">
        <v>199</v>
      </c>
      <c r="AT98" t="s">
        <v>200</v>
      </c>
    </row>
    <row r="99" spans="1:46" x14ac:dyDescent="0.3">
      <c r="A99">
        <v>3</v>
      </c>
      <c r="B99" s="5">
        <v>46302.335462962961</v>
      </c>
      <c r="C99" s="5">
        <v>46302.377106481479</v>
      </c>
      <c r="D99">
        <v>174661706</v>
      </c>
      <c r="E99">
        <v>2026</v>
      </c>
      <c r="F99">
        <v>10</v>
      </c>
      <c r="G99">
        <v>7</v>
      </c>
      <c r="H99" s="1" t="s">
        <v>184</v>
      </c>
      <c r="I99" t="s">
        <v>185</v>
      </c>
      <c r="J99" t="s">
        <v>186</v>
      </c>
      <c r="K99" t="s">
        <v>187</v>
      </c>
      <c r="L99" t="s">
        <v>188</v>
      </c>
      <c r="M99" t="s">
        <v>189</v>
      </c>
      <c r="N99" t="s">
        <v>190</v>
      </c>
      <c r="O99" s="6">
        <v>889400.58101199998</v>
      </c>
      <c r="P99" s="6">
        <v>-5.8914037357</v>
      </c>
      <c r="Q99" s="6">
        <v>-9.8206430000000005</v>
      </c>
      <c r="R99" s="6">
        <v>9.8206430000000005</v>
      </c>
      <c r="S99">
        <v>13</v>
      </c>
      <c r="T99" t="s">
        <v>191</v>
      </c>
      <c r="U99">
        <v>69</v>
      </c>
      <c r="V99" t="s">
        <v>192</v>
      </c>
      <c r="W99" s="1" t="s">
        <v>205</v>
      </c>
      <c r="X99" s="18">
        <v>0.59989999999999999</v>
      </c>
      <c r="Y99" s="18">
        <v>0.59989999999999999</v>
      </c>
      <c r="Z99" t="s">
        <v>194</v>
      </c>
      <c r="AA99">
        <v>193830</v>
      </c>
      <c r="AB99">
        <v>31130110</v>
      </c>
      <c r="AC99">
        <v>0</v>
      </c>
      <c r="AD99">
        <v>6394368</v>
      </c>
      <c r="AG99">
        <v>20768074</v>
      </c>
      <c r="AJ99">
        <v>197576</v>
      </c>
      <c r="AK99" t="s">
        <v>195</v>
      </c>
      <c r="AL99" t="s">
        <v>206</v>
      </c>
      <c r="AN99" t="s">
        <v>197</v>
      </c>
      <c r="AO99">
        <v>0.57489999999999997</v>
      </c>
      <c r="AP99">
        <v>120.04309120000001</v>
      </c>
      <c r="AQ99" t="s">
        <v>39</v>
      </c>
      <c r="AR99" t="s">
        <v>198</v>
      </c>
      <c r="AS99" t="s">
        <v>199</v>
      </c>
      <c r="AT99" t="s">
        <v>200</v>
      </c>
    </row>
    <row r="100" spans="1:46" x14ac:dyDescent="0.3">
      <c r="A100">
        <v>3</v>
      </c>
      <c r="B100" s="5">
        <v>46302.336597222224</v>
      </c>
      <c r="C100" s="5">
        <v>46302.378240740742</v>
      </c>
      <c r="D100">
        <v>174661904</v>
      </c>
      <c r="E100">
        <v>2026</v>
      </c>
      <c r="F100">
        <v>10</v>
      </c>
      <c r="G100">
        <v>7</v>
      </c>
      <c r="H100" s="1" t="s">
        <v>184</v>
      </c>
      <c r="I100" t="s">
        <v>185</v>
      </c>
      <c r="J100" t="s">
        <v>186</v>
      </c>
      <c r="K100" t="s">
        <v>187</v>
      </c>
      <c r="L100" t="s">
        <v>188</v>
      </c>
      <c r="M100" t="s">
        <v>189</v>
      </c>
      <c r="N100" t="s">
        <v>190</v>
      </c>
      <c r="O100" s="6">
        <v>889390.76036900003</v>
      </c>
      <c r="P100" s="6">
        <v>-5.8914037357</v>
      </c>
      <c r="Q100" s="6">
        <v>-9.8206430000000005</v>
      </c>
      <c r="R100" s="6">
        <v>9.8206430000000005</v>
      </c>
      <c r="S100">
        <v>13</v>
      </c>
      <c r="T100" t="s">
        <v>191</v>
      </c>
      <c r="U100">
        <v>69</v>
      </c>
      <c r="V100" t="s">
        <v>192</v>
      </c>
      <c r="W100" s="1" t="s">
        <v>205</v>
      </c>
      <c r="X100" s="18">
        <v>0.59989999999999999</v>
      </c>
      <c r="Y100" s="18">
        <v>0.59989999999999999</v>
      </c>
      <c r="Z100" t="s">
        <v>194</v>
      </c>
      <c r="AA100">
        <v>193830</v>
      </c>
      <c r="AB100">
        <v>31130155</v>
      </c>
      <c r="AC100">
        <v>0</v>
      </c>
      <c r="AD100">
        <v>6394368</v>
      </c>
      <c r="AG100">
        <v>20768074</v>
      </c>
      <c r="AJ100">
        <v>197576</v>
      </c>
      <c r="AK100" t="s">
        <v>195</v>
      </c>
      <c r="AL100" t="s">
        <v>206</v>
      </c>
      <c r="AN100" t="s">
        <v>197</v>
      </c>
      <c r="AO100">
        <v>0.57489999999999997</v>
      </c>
      <c r="AP100">
        <v>120.04309120000001</v>
      </c>
      <c r="AQ100" t="s">
        <v>39</v>
      </c>
      <c r="AR100" t="s">
        <v>198</v>
      </c>
      <c r="AS100" t="s">
        <v>199</v>
      </c>
      <c r="AT100" t="s">
        <v>200</v>
      </c>
    </row>
    <row r="101" spans="1:46" x14ac:dyDescent="0.3">
      <c r="A101">
        <v>3</v>
      </c>
      <c r="B101" s="5">
        <v>46302.337743055556</v>
      </c>
      <c r="C101" s="5">
        <v>46302.37939814815</v>
      </c>
      <c r="D101">
        <v>174662346</v>
      </c>
      <c r="E101">
        <v>2026</v>
      </c>
      <c r="F101">
        <v>10</v>
      </c>
      <c r="G101">
        <v>7</v>
      </c>
      <c r="H101" s="1" t="s">
        <v>184</v>
      </c>
      <c r="I101" t="s">
        <v>185</v>
      </c>
      <c r="J101" t="s">
        <v>186</v>
      </c>
      <c r="K101" t="s">
        <v>187</v>
      </c>
      <c r="L101" t="s">
        <v>188</v>
      </c>
      <c r="M101" t="s">
        <v>189</v>
      </c>
      <c r="N101" t="s">
        <v>190</v>
      </c>
      <c r="O101" s="6">
        <v>889380.93972599995</v>
      </c>
      <c r="P101" s="6">
        <v>-4.4872573990999998</v>
      </c>
      <c r="Q101" s="6">
        <v>-7.4800089999999999</v>
      </c>
      <c r="R101" s="6">
        <v>7.4800089999999999</v>
      </c>
      <c r="S101">
        <v>13</v>
      </c>
      <c r="T101" t="s">
        <v>191</v>
      </c>
      <c r="U101">
        <v>69</v>
      </c>
      <c r="V101" t="s">
        <v>192</v>
      </c>
      <c r="W101" s="1" t="s">
        <v>203</v>
      </c>
      <c r="X101" s="18">
        <v>0.59989999999999999</v>
      </c>
      <c r="Y101" s="18">
        <v>0.59989999999999999</v>
      </c>
      <c r="Z101" t="s">
        <v>194</v>
      </c>
      <c r="AA101">
        <v>193830</v>
      </c>
      <c r="AB101">
        <v>31130298</v>
      </c>
      <c r="AC101">
        <v>0</v>
      </c>
      <c r="AD101">
        <v>6394368</v>
      </c>
      <c r="AG101">
        <v>20871851</v>
      </c>
      <c r="AJ101">
        <v>192817</v>
      </c>
      <c r="AK101" t="s">
        <v>195</v>
      </c>
      <c r="AL101" t="s">
        <v>204</v>
      </c>
      <c r="AN101" t="s">
        <v>197</v>
      </c>
      <c r="AO101">
        <v>0.57489999999999997</v>
      </c>
      <c r="AP101">
        <v>121.080091</v>
      </c>
      <c r="AQ101" t="s">
        <v>54</v>
      </c>
      <c r="AR101" t="s">
        <v>198</v>
      </c>
      <c r="AS101" t="s">
        <v>199</v>
      </c>
      <c r="AT101" t="s">
        <v>200</v>
      </c>
    </row>
    <row r="102" spans="1:46" x14ac:dyDescent="0.3">
      <c r="A102">
        <v>3</v>
      </c>
      <c r="B102" s="5">
        <v>46302.338831018518</v>
      </c>
      <c r="C102" s="5">
        <v>46302.380474537036</v>
      </c>
      <c r="D102">
        <v>174662496</v>
      </c>
      <c r="E102">
        <v>2026</v>
      </c>
      <c r="F102">
        <v>10</v>
      </c>
      <c r="G102">
        <v>7</v>
      </c>
      <c r="H102" s="1" t="s">
        <v>184</v>
      </c>
      <c r="I102" t="s">
        <v>185</v>
      </c>
      <c r="J102" t="s">
        <v>186</v>
      </c>
      <c r="K102" t="s">
        <v>187</v>
      </c>
      <c r="L102" t="s">
        <v>188</v>
      </c>
      <c r="M102" t="s">
        <v>189</v>
      </c>
      <c r="N102" t="s">
        <v>190</v>
      </c>
      <c r="O102" s="6">
        <v>889373.45971700002</v>
      </c>
      <c r="P102" s="6">
        <v>-4.4872573990999998</v>
      </c>
      <c r="Q102" s="6">
        <v>-7.4800089999999999</v>
      </c>
      <c r="R102" s="6">
        <v>7.4800089999999999</v>
      </c>
      <c r="S102">
        <v>13</v>
      </c>
      <c r="T102" t="s">
        <v>191</v>
      </c>
      <c r="U102">
        <v>69</v>
      </c>
      <c r="V102" t="s">
        <v>192</v>
      </c>
      <c r="W102" s="1" t="s">
        <v>203</v>
      </c>
      <c r="X102" s="18">
        <v>0.59989999999999999</v>
      </c>
      <c r="Y102" s="18">
        <v>0.59989999999999999</v>
      </c>
      <c r="Z102" t="s">
        <v>194</v>
      </c>
      <c r="AA102">
        <v>193830</v>
      </c>
      <c r="AB102">
        <v>31130336</v>
      </c>
      <c r="AC102">
        <v>0</v>
      </c>
      <c r="AD102">
        <v>6394368</v>
      </c>
      <c r="AG102">
        <v>20871851</v>
      </c>
      <c r="AJ102">
        <v>192817</v>
      </c>
      <c r="AK102" t="s">
        <v>195</v>
      </c>
      <c r="AL102" t="s">
        <v>204</v>
      </c>
      <c r="AN102" t="s">
        <v>197</v>
      </c>
      <c r="AO102">
        <v>0.57489999999999997</v>
      </c>
      <c r="AP102">
        <v>121.080091</v>
      </c>
      <c r="AQ102" t="s">
        <v>54</v>
      </c>
      <c r="AR102" t="s">
        <v>198</v>
      </c>
      <c r="AS102" t="s">
        <v>199</v>
      </c>
      <c r="AT102" t="s">
        <v>200</v>
      </c>
    </row>
    <row r="103" spans="1:46" x14ac:dyDescent="0.3">
      <c r="A103">
        <v>3</v>
      </c>
      <c r="B103" s="5">
        <v>46302.339201388888</v>
      </c>
      <c r="C103" s="5">
        <v>46302.380844907406</v>
      </c>
      <c r="D103">
        <v>174662576</v>
      </c>
      <c r="E103">
        <v>2026</v>
      </c>
      <c r="F103">
        <v>10</v>
      </c>
      <c r="G103">
        <v>7</v>
      </c>
      <c r="H103" s="1" t="s">
        <v>184</v>
      </c>
      <c r="I103" t="s">
        <v>185</v>
      </c>
      <c r="J103" t="s">
        <v>186</v>
      </c>
      <c r="K103" t="s">
        <v>187</v>
      </c>
      <c r="L103" t="s">
        <v>188</v>
      </c>
      <c r="M103" t="s">
        <v>189</v>
      </c>
      <c r="N103" t="s">
        <v>190</v>
      </c>
      <c r="O103" s="6">
        <v>889365.97970799997</v>
      </c>
      <c r="P103" s="6">
        <v>-4.4719893441999998</v>
      </c>
      <c r="Q103" s="6">
        <v>-7.4545579999999996</v>
      </c>
      <c r="R103" s="6">
        <v>7.4545579999999996</v>
      </c>
      <c r="S103">
        <v>13</v>
      </c>
      <c r="T103" t="s">
        <v>191</v>
      </c>
      <c r="U103">
        <v>69</v>
      </c>
      <c r="V103" t="s">
        <v>192</v>
      </c>
      <c r="W103" s="1" t="s">
        <v>201</v>
      </c>
      <c r="X103" s="18">
        <v>0.59989999999999999</v>
      </c>
      <c r="Y103" s="18">
        <v>0.59989999999999999</v>
      </c>
      <c r="Z103" t="s">
        <v>194</v>
      </c>
      <c r="AA103">
        <v>193830</v>
      </c>
      <c r="AB103">
        <v>31130357</v>
      </c>
      <c r="AC103">
        <v>0</v>
      </c>
      <c r="AD103">
        <v>6394368</v>
      </c>
      <c r="AG103">
        <v>20712950</v>
      </c>
      <c r="AJ103">
        <v>194436</v>
      </c>
      <c r="AK103" t="s">
        <v>195</v>
      </c>
      <c r="AL103" t="s">
        <v>202</v>
      </c>
      <c r="AN103" t="s">
        <v>197</v>
      </c>
      <c r="AO103">
        <v>0.57489999999999997</v>
      </c>
      <c r="AP103">
        <v>121.09409100000001</v>
      </c>
      <c r="AQ103" t="s">
        <v>56</v>
      </c>
      <c r="AR103" t="s">
        <v>198</v>
      </c>
      <c r="AS103" t="s">
        <v>199</v>
      </c>
      <c r="AT103" t="s">
        <v>200</v>
      </c>
    </row>
    <row r="104" spans="1:46" x14ac:dyDescent="0.3">
      <c r="A104">
        <v>3</v>
      </c>
      <c r="B104" s="5">
        <v>46302.341087962966</v>
      </c>
      <c r="C104" s="5">
        <v>46302.382719907408</v>
      </c>
      <c r="D104">
        <v>174663011</v>
      </c>
      <c r="E104">
        <v>2026</v>
      </c>
      <c r="F104">
        <v>10</v>
      </c>
      <c r="G104">
        <v>7</v>
      </c>
      <c r="H104" s="1" t="s">
        <v>184</v>
      </c>
      <c r="I104" t="s">
        <v>185</v>
      </c>
      <c r="J104" t="s">
        <v>186</v>
      </c>
      <c r="K104" t="s">
        <v>187</v>
      </c>
      <c r="L104" t="s">
        <v>188</v>
      </c>
      <c r="M104" t="s">
        <v>189</v>
      </c>
      <c r="N104" t="s">
        <v>190</v>
      </c>
      <c r="O104" s="6">
        <v>889358.52515</v>
      </c>
      <c r="P104" s="6">
        <v>-8.9212682740999991</v>
      </c>
      <c r="Q104" s="6">
        <v>-14.871259</v>
      </c>
      <c r="R104" s="6">
        <v>14.871259</v>
      </c>
      <c r="S104">
        <v>13</v>
      </c>
      <c r="T104" t="s">
        <v>191</v>
      </c>
      <c r="U104">
        <v>69</v>
      </c>
      <c r="V104" t="s">
        <v>192</v>
      </c>
      <c r="W104" s="1" t="s">
        <v>214</v>
      </c>
      <c r="X104" s="18">
        <v>0.59989999999999999</v>
      </c>
      <c r="Y104" s="18">
        <v>0.59989999999999999</v>
      </c>
      <c r="Z104" t="s">
        <v>194</v>
      </c>
      <c r="AA104">
        <v>193830</v>
      </c>
      <c r="AB104">
        <v>31130433</v>
      </c>
      <c r="AC104">
        <v>0</v>
      </c>
      <c r="AD104">
        <v>6394368</v>
      </c>
      <c r="AG104">
        <v>20916065</v>
      </c>
      <c r="AJ104">
        <v>195123</v>
      </c>
      <c r="AK104" t="s">
        <v>195</v>
      </c>
      <c r="AL104" t="s">
        <v>215</v>
      </c>
      <c r="AN104" t="s">
        <v>197</v>
      </c>
      <c r="AO104">
        <v>0.57489999999999997</v>
      </c>
      <c r="AP104">
        <v>121.00909015000001</v>
      </c>
      <c r="AQ104" t="s">
        <v>80</v>
      </c>
      <c r="AR104" t="s">
        <v>198</v>
      </c>
      <c r="AS104" t="s">
        <v>199</v>
      </c>
      <c r="AT104" t="s">
        <v>200</v>
      </c>
    </row>
    <row r="105" spans="1:46" x14ac:dyDescent="0.3">
      <c r="A105">
        <v>3</v>
      </c>
      <c r="B105" s="5">
        <v>46302.342951388891</v>
      </c>
      <c r="C105" s="5">
        <v>46302.384594907409</v>
      </c>
      <c r="D105">
        <v>174663297</v>
      </c>
      <c r="E105">
        <v>2026</v>
      </c>
      <c r="F105">
        <v>10</v>
      </c>
      <c r="G105">
        <v>7</v>
      </c>
      <c r="H105" s="1" t="s">
        <v>184</v>
      </c>
      <c r="I105" t="s">
        <v>185</v>
      </c>
      <c r="J105" t="s">
        <v>186</v>
      </c>
      <c r="K105" t="s">
        <v>187</v>
      </c>
      <c r="L105" t="s">
        <v>188</v>
      </c>
      <c r="M105" t="s">
        <v>189</v>
      </c>
      <c r="N105" t="s">
        <v>190</v>
      </c>
      <c r="O105" s="6">
        <v>889343.65389099997</v>
      </c>
      <c r="P105" s="6">
        <v>-4.4719893441999998</v>
      </c>
      <c r="Q105" s="6">
        <v>-7.4545579999999996</v>
      </c>
      <c r="R105" s="6">
        <v>7.4545579999999996</v>
      </c>
      <c r="S105">
        <v>13</v>
      </c>
      <c r="T105" t="s">
        <v>191</v>
      </c>
      <c r="U105">
        <v>69</v>
      </c>
      <c r="V105" t="s">
        <v>192</v>
      </c>
      <c r="W105" s="1" t="s">
        <v>201</v>
      </c>
      <c r="X105" s="18">
        <v>0.59989999999999999</v>
      </c>
      <c r="Y105" s="18">
        <v>0.59989999999999999</v>
      </c>
      <c r="Z105" t="s">
        <v>194</v>
      </c>
      <c r="AA105">
        <v>193830</v>
      </c>
      <c r="AB105">
        <v>31130485</v>
      </c>
      <c r="AC105">
        <v>0</v>
      </c>
      <c r="AD105">
        <v>6394368</v>
      </c>
      <c r="AG105">
        <v>20712950</v>
      </c>
      <c r="AJ105">
        <v>194436</v>
      </c>
      <c r="AK105" t="s">
        <v>195</v>
      </c>
      <c r="AL105" t="s">
        <v>202</v>
      </c>
      <c r="AN105" t="s">
        <v>197</v>
      </c>
      <c r="AO105">
        <v>0.57489999999999997</v>
      </c>
      <c r="AP105">
        <v>121.09409100000001</v>
      </c>
      <c r="AQ105" t="s">
        <v>56</v>
      </c>
      <c r="AR105" t="s">
        <v>198</v>
      </c>
      <c r="AS105" t="s">
        <v>199</v>
      </c>
      <c r="AT105" t="s">
        <v>200</v>
      </c>
    </row>
    <row r="106" spans="1:46" x14ac:dyDescent="0.3">
      <c r="A106">
        <v>3</v>
      </c>
      <c r="B106" s="5">
        <v>46302.346006944441</v>
      </c>
      <c r="C106" s="5">
        <v>46302.387650462966</v>
      </c>
      <c r="D106">
        <v>174663920</v>
      </c>
      <c r="E106">
        <v>2026</v>
      </c>
      <c r="F106">
        <v>10</v>
      </c>
      <c r="G106">
        <v>7</v>
      </c>
      <c r="H106" s="1" t="s">
        <v>184</v>
      </c>
      <c r="I106" t="s">
        <v>185</v>
      </c>
      <c r="J106" t="s">
        <v>186</v>
      </c>
      <c r="K106" t="s">
        <v>187</v>
      </c>
      <c r="L106" t="s">
        <v>188</v>
      </c>
      <c r="M106" t="s">
        <v>189</v>
      </c>
      <c r="N106" t="s">
        <v>190</v>
      </c>
      <c r="O106" s="6">
        <v>889336.199333</v>
      </c>
      <c r="P106" s="6">
        <v>-4.4719893441999998</v>
      </c>
      <c r="Q106" s="6">
        <v>-7.4545579999999996</v>
      </c>
      <c r="R106" s="6">
        <v>7.4545579999999996</v>
      </c>
      <c r="S106">
        <v>13</v>
      </c>
      <c r="T106" t="s">
        <v>191</v>
      </c>
      <c r="U106">
        <v>69</v>
      </c>
      <c r="V106" t="s">
        <v>192</v>
      </c>
      <c r="W106" s="1" t="s">
        <v>201</v>
      </c>
      <c r="X106" s="18">
        <v>0.59989999999999999</v>
      </c>
      <c r="Y106" s="18">
        <v>0.59989999999999999</v>
      </c>
      <c r="Z106" t="s">
        <v>194</v>
      </c>
      <c r="AA106">
        <v>193830</v>
      </c>
      <c r="AB106">
        <v>31130629</v>
      </c>
      <c r="AC106">
        <v>0</v>
      </c>
      <c r="AD106">
        <v>6394368</v>
      </c>
      <c r="AG106">
        <v>20712950</v>
      </c>
      <c r="AJ106">
        <v>194436</v>
      </c>
      <c r="AK106" t="s">
        <v>195</v>
      </c>
      <c r="AL106" t="s">
        <v>202</v>
      </c>
      <c r="AN106" t="s">
        <v>197</v>
      </c>
      <c r="AO106">
        <v>0.57489999999999997</v>
      </c>
      <c r="AP106">
        <v>121.09409100000001</v>
      </c>
      <c r="AQ106" t="s">
        <v>56</v>
      </c>
      <c r="AR106" t="s">
        <v>198</v>
      </c>
      <c r="AS106" t="s">
        <v>199</v>
      </c>
      <c r="AT106" t="s">
        <v>200</v>
      </c>
    </row>
    <row r="107" spans="1:46" x14ac:dyDescent="0.3">
      <c r="A107">
        <v>3</v>
      </c>
      <c r="B107" s="5">
        <v>46302.34648148148</v>
      </c>
      <c r="C107" s="5">
        <v>46302.388124999998</v>
      </c>
      <c r="D107">
        <v>174664005</v>
      </c>
      <c r="E107">
        <v>2026</v>
      </c>
      <c r="F107">
        <v>10</v>
      </c>
      <c r="G107">
        <v>7</v>
      </c>
      <c r="H107" s="1" t="s">
        <v>184</v>
      </c>
      <c r="I107" t="s">
        <v>185</v>
      </c>
      <c r="J107" t="s">
        <v>186</v>
      </c>
      <c r="K107" t="s">
        <v>187</v>
      </c>
      <c r="L107" t="s">
        <v>188</v>
      </c>
      <c r="M107" t="s">
        <v>189</v>
      </c>
      <c r="N107" t="s">
        <v>190</v>
      </c>
      <c r="O107" s="6">
        <v>889328.74477500003</v>
      </c>
      <c r="P107" s="6">
        <v>-8.9212682740999991</v>
      </c>
      <c r="Q107" s="6">
        <v>-14.871259</v>
      </c>
      <c r="R107" s="6">
        <v>14.871259</v>
      </c>
      <c r="S107">
        <v>13</v>
      </c>
      <c r="T107" t="s">
        <v>191</v>
      </c>
      <c r="U107">
        <v>69</v>
      </c>
      <c r="V107" t="s">
        <v>192</v>
      </c>
      <c r="W107" s="1" t="s">
        <v>214</v>
      </c>
      <c r="X107" s="18">
        <v>0.59989999999999999</v>
      </c>
      <c r="Y107" s="18">
        <v>0.59989999999999999</v>
      </c>
      <c r="Z107" t="s">
        <v>194</v>
      </c>
      <c r="AA107">
        <v>193830</v>
      </c>
      <c r="AB107">
        <v>31130635</v>
      </c>
      <c r="AC107">
        <v>0</v>
      </c>
      <c r="AD107">
        <v>6394368</v>
      </c>
      <c r="AG107">
        <v>20916065</v>
      </c>
      <c r="AJ107">
        <v>195123</v>
      </c>
      <c r="AK107" t="s">
        <v>195</v>
      </c>
      <c r="AL107" t="s">
        <v>215</v>
      </c>
      <c r="AN107" t="s">
        <v>197</v>
      </c>
      <c r="AO107">
        <v>0.57489999999999997</v>
      </c>
      <c r="AP107">
        <v>121.00909015000001</v>
      </c>
      <c r="AQ107" t="s">
        <v>80</v>
      </c>
      <c r="AR107" t="s">
        <v>198</v>
      </c>
      <c r="AS107" t="s">
        <v>199</v>
      </c>
      <c r="AT107" t="s">
        <v>200</v>
      </c>
    </row>
    <row r="108" spans="1:46" x14ac:dyDescent="0.3">
      <c r="A108">
        <v>3</v>
      </c>
      <c r="B108" s="5">
        <v>46302.348217592589</v>
      </c>
      <c r="C108" s="5">
        <v>46302.389861111114</v>
      </c>
      <c r="D108">
        <v>174664321</v>
      </c>
      <c r="E108">
        <v>2026</v>
      </c>
      <c r="F108">
        <v>10</v>
      </c>
      <c r="G108">
        <v>7</v>
      </c>
      <c r="H108" s="1" t="s">
        <v>184</v>
      </c>
      <c r="I108" t="s">
        <v>185</v>
      </c>
      <c r="J108" t="s">
        <v>186</v>
      </c>
      <c r="K108" t="s">
        <v>187</v>
      </c>
      <c r="L108" t="s">
        <v>188</v>
      </c>
      <c r="M108" t="s">
        <v>189</v>
      </c>
      <c r="N108" t="s">
        <v>190</v>
      </c>
      <c r="O108" s="6">
        <v>889313.87351599999</v>
      </c>
      <c r="P108" s="6">
        <v>-4.4872573990999998</v>
      </c>
      <c r="Q108" s="6">
        <v>-7.4800089999999999</v>
      </c>
      <c r="R108" s="6">
        <v>7.4800089999999999</v>
      </c>
      <c r="S108">
        <v>13</v>
      </c>
      <c r="T108" t="s">
        <v>191</v>
      </c>
      <c r="U108">
        <v>69</v>
      </c>
      <c r="V108" t="s">
        <v>192</v>
      </c>
      <c r="W108" s="1" t="s">
        <v>203</v>
      </c>
      <c r="X108" s="18">
        <v>0.59989999999999999</v>
      </c>
      <c r="Y108" s="18">
        <v>0.59989999999999999</v>
      </c>
      <c r="Z108" t="s">
        <v>194</v>
      </c>
      <c r="AA108">
        <v>193830</v>
      </c>
      <c r="AB108">
        <v>31130697</v>
      </c>
      <c r="AC108">
        <v>0</v>
      </c>
      <c r="AD108">
        <v>6394368</v>
      </c>
      <c r="AG108">
        <v>20871851</v>
      </c>
      <c r="AJ108">
        <v>192817</v>
      </c>
      <c r="AK108" t="s">
        <v>195</v>
      </c>
      <c r="AL108" t="s">
        <v>204</v>
      </c>
      <c r="AN108" t="s">
        <v>197</v>
      </c>
      <c r="AO108">
        <v>0.57489999999999997</v>
      </c>
      <c r="AP108">
        <v>121.080091</v>
      </c>
      <c r="AQ108" t="s">
        <v>54</v>
      </c>
      <c r="AR108" t="s">
        <v>198</v>
      </c>
      <c r="AS108" t="s">
        <v>199</v>
      </c>
      <c r="AT108" t="s">
        <v>200</v>
      </c>
    </row>
    <row r="109" spans="1:46" x14ac:dyDescent="0.3">
      <c r="A109">
        <v>3</v>
      </c>
      <c r="B109" s="5">
        <v>46302.349351851852</v>
      </c>
      <c r="C109" s="5">
        <v>46302.390983796293</v>
      </c>
      <c r="D109">
        <v>174664645</v>
      </c>
      <c r="E109">
        <v>2026</v>
      </c>
      <c r="F109">
        <v>10</v>
      </c>
      <c r="G109">
        <v>7</v>
      </c>
      <c r="H109" s="1" t="s">
        <v>184</v>
      </c>
      <c r="I109" t="s">
        <v>185</v>
      </c>
      <c r="J109" t="s">
        <v>186</v>
      </c>
      <c r="K109" t="s">
        <v>187</v>
      </c>
      <c r="L109" t="s">
        <v>188</v>
      </c>
      <c r="M109" t="s">
        <v>189</v>
      </c>
      <c r="N109" t="s">
        <v>190</v>
      </c>
      <c r="O109" s="6">
        <v>889306.39350699994</v>
      </c>
      <c r="P109" s="6">
        <v>-5.8914037357</v>
      </c>
      <c r="Q109" s="6">
        <v>-9.8206430000000005</v>
      </c>
      <c r="R109" s="6">
        <v>9.8206430000000005</v>
      </c>
      <c r="S109">
        <v>13</v>
      </c>
      <c r="T109" t="s">
        <v>191</v>
      </c>
      <c r="U109">
        <v>69</v>
      </c>
      <c r="V109" t="s">
        <v>192</v>
      </c>
      <c r="W109" s="1" t="s">
        <v>205</v>
      </c>
      <c r="X109" s="18">
        <v>0.59989999999999999</v>
      </c>
      <c r="Y109" s="18">
        <v>0.59989999999999999</v>
      </c>
      <c r="Z109" t="s">
        <v>194</v>
      </c>
      <c r="AA109">
        <v>193830</v>
      </c>
      <c r="AB109">
        <v>31130749</v>
      </c>
      <c r="AC109">
        <v>0</v>
      </c>
      <c r="AD109">
        <v>6394368</v>
      </c>
      <c r="AG109">
        <v>20768074</v>
      </c>
      <c r="AJ109">
        <v>197576</v>
      </c>
      <c r="AK109" t="s">
        <v>195</v>
      </c>
      <c r="AL109" t="s">
        <v>206</v>
      </c>
      <c r="AN109" t="s">
        <v>197</v>
      </c>
      <c r="AO109">
        <v>0.57489999999999997</v>
      </c>
      <c r="AP109">
        <v>120.04309120000001</v>
      </c>
      <c r="AQ109" t="s">
        <v>39</v>
      </c>
      <c r="AR109" t="s">
        <v>198</v>
      </c>
      <c r="AS109" t="s">
        <v>199</v>
      </c>
      <c r="AT109" t="s">
        <v>200</v>
      </c>
    </row>
    <row r="110" spans="1:46" x14ac:dyDescent="0.3">
      <c r="A110">
        <v>3</v>
      </c>
      <c r="B110" s="5">
        <v>46302.350219907406</v>
      </c>
      <c r="C110" s="5">
        <v>46302.391863425924</v>
      </c>
      <c r="D110">
        <v>174664844</v>
      </c>
      <c r="E110">
        <v>2026</v>
      </c>
      <c r="F110">
        <v>10</v>
      </c>
      <c r="G110">
        <v>7</v>
      </c>
      <c r="H110" s="1" t="s">
        <v>184</v>
      </c>
      <c r="I110" t="s">
        <v>185</v>
      </c>
      <c r="J110" t="s">
        <v>186</v>
      </c>
      <c r="K110" t="s">
        <v>187</v>
      </c>
      <c r="L110" t="s">
        <v>188</v>
      </c>
      <c r="M110" t="s">
        <v>189</v>
      </c>
      <c r="N110" t="s">
        <v>190</v>
      </c>
      <c r="O110" s="6">
        <v>889296.57286399999</v>
      </c>
      <c r="P110" s="6">
        <v>-5.8914037357</v>
      </c>
      <c r="Q110" s="6">
        <v>-9.8206430000000005</v>
      </c>
      <c r="R110" s="6">
        <v>9.8206430000000005</v>
      </c>
      <c r="S110">
        <v>13</v>
      </c>
      <c r="T110" t="s">
        <v>191</v>
      </c>
      <c r="U110">
        <v>69</v>
      </c>
      <c r="V110" t="s">
        <v>192</v>
      </c>
      <c r="W110" s="1" t="s">
        <v>205</v>
      </c>
      <c r="X110" s="18">
        <v>0.59989999999999999</v>
      </c>
      <c r="Y110" s="18">
        <v>0.59989999999999999</v>
      </c>
      <c r="Z110" t="s">
        <v>194</v>
      </c>
      <c r="AA110">
        <v>193830</v>
      </c>
      <c r="AB110">
        <v>31130809</v>
      </c>
      <c r="AC110">
        <v>0</v>
      </c>
      <c r="AD110">
        <v>6394368</v>
      </c>
      <c r="AG110">
        <v>20768074</v>
      </c>
      <c r="AJ110">
        <v>197576</v>
      </c>
      <c r="AK110" t="s">
        <v>195</v>
      </c>
      <c r="AL110" t="s">
        <v>206</v>
      </c>
      <c r="AN110" t="s">
        <v>197</v>
      </c>
      <c r="AO110">
        <v>0.57489999999999997</v>
      </c>
      <c r="AP110">
        <v>120.04309120000001</v>
      </c>
      <c r="AQ110" t="s">
        <v>39</v>
      </c>
      <c r="AR110" t="s">
        <v>198</v>
      </c>
      <c r="AS110" t="s">
        <v>199</v>
      </c>
      <c r="AT110" t="s">
        <v>200</v>
      </c>
    </row>
    <row r="111" spans="1:46" x14ac:dyDescent="0.3">
      <c r="A111">
        <v>3</v>
      </c>
      <c r="B111" s="5">
        <v>46302.350729166668</v>
      </c>
      <c r="C111" s="5">
        <v>46302.392372685186</v>
      </c>
      <c r="D111">
        <v>174664942</v>
      </c>
      <c r="E111">
        <v>2026</v>
      </c>
      <c r="F111">
        <v>10</v>
      </c>
      <c r="G111">
        <v>7</v>
      </c>
      <c r="H111" s="1" t="s">
        <v>184</v>
      </c>
      <c r="I111" t="s">
        <v>185</v>
      </c>
      <c r="J111" t="s">
        <v>186</v>
      </c>
      <c r="K111" t="s">
        <v>187</v>
      </c>
      <c r="L111" t="s">
        <v>188</v>
      </c>
      <c r="M111" t="s">
        <v>189</v>
      </c>
      <c r="N111" t="s">
        <v>190</v>
      </c>
      <c r="O111" s="6">
        <v>889286.75222100003</v>
      </c>
      <c r="P111" s="6">
        <v>-4.4719893441999998</v>
      </c>
      <c r="Q111" s="6">
        <v>-7.4545579999999996</v>
      </c>
      <c r="R111" s="6">
        <v>7.4545579999999996</v>
      </c>
      <c r="S111">
        <v>13</v>
      </c>
      <c r="T111" t="s">
        <v>191</v>
      </c>
      <c r="U111">
        <v>69</v>
      </c>
      <c r="V111" t="s">
        <v>192</v>
      </c>
      <c r="W111" s="1" t="s">
        <v>201</v>
      </c>
      <c r="X111" s="18">
        <v>0.59989999999999999</v>
      </c>
      <c r="Y111" s="18">
        <v>0.59989999999999999</v>
      </c>
      <c r="Z111" t="s">
        <v>194</v>
      </c>
      <c r="AA111">
        <v>193830</v>
      </c>
      <c r="AB111">
        <v>31130821</v>
      </c>
      <c r="AC111">
        <v>0</v>
      </c>
      <c r="AD111">
        <v>6394368</v>
      </c>
      <c r="AG111">
        <v>20712950</v>
      </c>
      <c r="AJ111">
        <v>194436</v>
      </c>
      <c r="AK111" t="s">
        <v>195</v>
      </c>
      <c r="AL111" t="s">
        <v>202</v>
      </c>
      <c r="AN111" t="s">
        <v>197</v>
      </c>
      <c r="AO111">
        <v>0.57489999999999997</v>
      </c>
      <c r="AP111">
        <v>121.09409100000001</v>
      </c>
      <c r="AQ111" t="s">
        <v>56</v>
      </c>
      <c r="AR111" t="s">
        <v>198</v>
      </c>
      <c r="AS111" t="s">
        <v>199</v>
      </c>
      <c r="AT111" t="s">
        <v>200</v>
      </c>
    </row>
    <row r="112" spans="1:46" x14ac:dyDescent="0.3">
      <c r="A112">
        <v>3</v>
      </c>
      <c r="B112" s="5">
        <v>46302.351851851854</v>
      </c>
      <c r="C112" s="5">
        <v>46302.393495370372</v>
      </c>
      <c r="D112">
        <v>174665215</v>
      </c>
      <c r="E112">
        <v>2026</v>
      </c>
      <c r="F112">
        <v>10</v>
      </c>
      <c r="G112">
        <v>7</v>
      </c>
      <c r="H112" s="1" t="s">
        <v>184</v>
      </c>
      <c r="I112" t="s">
        <v>185</v>
      </c>
      <c r="J112" t="s">
        <v>186</v>
      </c>
      <c r="K112" t="s">
        <v>187</v>
      </c>
      <c r="L112" t="s">
        <v>188</v>
      </c>
      <c r="M112" t="s">
        <v>189</v>
      </c>
      <c r="N112" t="s">
        <v>190</v>
      </c>
      <c r="O112" s="6">
        <v>889279.29766299995</v>
      </c>
      <c r="P112" s="6">
        <v>-4.4719893441999998</v>
      </c>
      <c r="Q112" s="6">
        <v>-7.4545579999999996</v>
      </c>
      <c r="R112" s="6">
        <v>7.4545579999999996</v>
      </c>
      <c r="S112">
        <v>13</v>
      </c>
      <c r="T112" t="s">
        <v>191</v>
      </c>
      <c r="U112">
        <v>69</v>
      </c>
      <c r="V112" t="s">
        <v>192</v>
      </c>
      <c r="W112" s="1" t="s">
        <v>201</v>
      </c>
      <c r="X112" s="18">
        <v>0.59989999999999999</v>
      </c>
      <c r="Y112" s="18">
        <v>0.59989999999999999</v>
      </c>
      <c r="Z112" t="s">
        <v>194</v>
      </c>
      <c r="AA112">
        <v>193830</v>
      </c>
      <c r="AB112">
        <v>31130855</v>
      </c>
      <c r="AC112">
        <v>0</v>
      </c>
      <c r="AD112">
        <v>6394368</v>
      </c>
      <c r="AG112">
        <v>20712950</v>
      </c>
      <c r="AJ112">
        <v>194436</v>
      </c>
      <c r="AK112" t="s">
        <v>195</v>
      </c>
      <c r="AL112" t="s">
        <v>202</v>
      </c>
      <c r="AN112" t="s">
        <v>197</v>
      </c>
      <c r="AO112">
        <v>0.57489999999999997</v>
      </c>
      <c r="AP112">
        <v>121.09409100000001</v>
      </c>
      <c r="AQ112" t="s">
        <v>56</v>
      </c>
      <c r="AR112" t="s">
        <v>198</v>
      </c>
      <c r="AS112" t="s">
        <v>199</v>
      </c>
      <c r="AT112" t="s">
        <v>200</v>
      </c>
    </row>
    <row r="113" spans="1:46" x14ac:dyDescent="0.3">
      <c r="A113">
        <v>3</v>
      </c>
      <c r="B113" s="5">
        <v>46302.352476851855</v>
      </c>
      <c r="C113" s="5">
        <v>46302.394120370373</v>
      </c>
      <c r="D113">
        <v>174665502</v>
      </c>
      <c r="E113">
        <v>2026</v>
      </c>
      <c r="F113">
        <v>10</v>
      </c>
      <c r="G113">
        <v>7</v>
      </c>
      <c r="H113" s="1" t="s">
        <v>184</v>
      </c>
      <c r="I113" t="s">
        <v>185</v>
      </c>
      <c r="J113" t="s">
        <v>186</v>
      </c>
      <c r="K113" t="s">
        <v>187</v>
      </c>
      <c r="L113" t="s">
        <v>188</v>
      </c>
      <c r="M113" t="s">
        <v>189</v>
      </c>
      <c r="N113" t="s">
        <v>190</v>
      </c>
      <c r="O113" s="6">
        <v>889271.84310499998</v>
      </c>
      <c r="P113" s="6">
        <v>-4.4872573990999998</v>
      </c>
      <c r="Q113" s="6">
        <v>-7.4800089999999999</v>
      </c>
      <c r="R113" s="6">
        <v>7.4800089999999999</v>
      </c>
      <c r="S113">
        <v>13</v>
      </c>
      <c r="T113" t="s">
        <v>191</v>
      </c>
      <c r="U113">
        <v>69</v>
      </c>
      <c r="V113" t="s">
        <v>192</v>
      </c>
      <c r="W113" s="1" t="s">
        <v>203</v>
      </c>
      <c r="X113" s="18">
        <v>0.59989999999999999</v>
      </c>
      <c r="Y113" s="18">
        <v>0.59989999999999999</v>
      </c>
      <c r="Z113" t="s">
        <v>194</v>
      </c>
      <c r="AA113">
        <v>193830</v>
      </c>
      <c r="AB113">
        <v>31130885</v>
      </c>
      <c r="AC113">
        <v>0</v>
      </c>
      <c r="AD113">
        <v>6394368</v>
      </c>
      <c r="AG113">
        <v>20871851</v>
      </c>
      <c r="AJ113">
        <v>192817</v>
      </c>
      <c r="AK113" t="s">
        <v>195</v>
      </c>
      <c r="AL113" t="s">
        <v>204</v>
      </c>
      <c r="AN113" t="s">
        <v>197</v>
      </c>
      <c r="AO113">
        <v>0.57489999999999997</v>
      </c>
      <c r="AP113">
        <v>121.080091</v>
      </c>
      <c r="AQ113" t="s">
        <v>54</v>
      </c>
      <c r="AR113" t="s">
        <v>198</v>
      </c>
      <c r="AS113" t="s">
        <v>199</v>
      </c>
      <c r="AT113" t="s">
        <v>200</v>
      </c>
    </row>
    <row r="114" spans="1:46" x14ac:dyDescent="0.3">
      <c r="A114">
        <v>3</v>
      </c>
      <c r="B114" s="5">
        <v>46302.35328703704</v>
      </c>
      <c r="C114" s="5">
        <v>46302.394930555558</v>
      </c>
      <c r="D114">
        <v>174665667</v>
      </c>
      <c r="E114">
        <v>2026</v>
      </c>
      <c r="F114">
        <v>10</v>
      </c>
      <c r="G114">
        <v>7</v>
      </c>
      <c r="H114" s="1" t="s">
        <v>184</v>
      </c>
      <c r="I114" t="s">
        <v>185</v>
      </c>
      <c r="J114" t="s">
        <v>186</v>
      </c>
      <c r="K114" t="s">
        <v>187</v>
      </c>
      <c r="L114" t="s">
        <v>188</v>
      </c>
      <c r="M114" t="s">
        <v>189</v>
      </c>
      <c r="N114" t="s">
        <v>190</v>
      </c>
      <c r="O114" s="6">
        <v>889264.36309600004</v>
      </c>
      <c r="P114" s="6">
        <v>-4.4872573990999998</v>
      </c>
      <c r="Q114" s="6">
        <v>-7.4800089999999999</v>
      </c>
      <c r="R114" s="6">
        <v>7.4800089999999999</v>
      </c>
      <c r="S114">
        <v>13</v>
      </c>
      <c r="T114" t="s">
        <v>191</v>
      </c>
      <c r="U114">
        <v>69</v>
      </c>
      <c r="V114" t="s">
        <v>192</v>
      </c>
      <c r="W114" s="1" t="s">
        <v>203</v>
      </c>
      <c r="X114" s="18">
        <v>0.59989999999999999</v>
      </c>
      <c r="Y114" s="18">
        <v>0.59989999999999999</v>
      </c>
      <c r="Z114" t="s">
        <v>194</v>
      </c>
      <c r="AA114">
        <v>193830</v>
      </c>
      <c r="AB114">
        <v>31130912</v>
      </c>
      <c r="AC114">
        <v>0</v>
      </c>
      <c r="AD114">
        <v>6394368</v>
      </c>
      <c r="AG114">
        <v>20871851</v>
      </c>
      <c r="AJ114">
        <v>192817</v>
      </c>
      <c r="AK114" t="s">
        <v>195</v>
      </c>
      <c r="AL114" t="s">
        <v>204</v>
      </c>
      <c r="AN114" t="s">
        <v>197</v>
      </c>
      <c r="AO114">
        <v>0.57489999999999997</v>
      </c>
      <c r="AP114">
        <v>121.080091</v>
      </c>
      <c r="AQ114" t="s">
        <v>54</v>
      </c>
      <c r="AR114" t="s">
        <v>198</v>
      </c>
      <c r="AS114" t="s">
        <v>199</v>
      </c>
      <c r="AT114" t="s">
        <v>200</v>
      </c>
    </row>
    <row r="115" spans="1:46" x14ac:dyDescent="0.3">
      <c r="A115">
        <v>3</v>
      </c>
      <c r="B115" s="5">
        <v>46302.354884259257</v>
      </c>
      <c r="C115" s="5">
        <v>46302.396539351852</v>
      </c>
      <c r="D115">
        <v>174666059</v>
      </c>
      <c r="E115">
        <v>2026</v>
      </c>
      <c r="F115">
        <v>10</v>
      </c>
      <c r="G115">
        <v>7</v>
      </c>
      <c r="H115" s="1" t="s">
        <v>184</v>
      </c>
      <c r="I115" t="s">
        <v>185</v>
      </c>
      <c r="J115" t="s">
        <v>186</v>
      </c>
      <c r="K115" t="s">
        <v>187</v>
      </c>
      <c r="L115" t="s">
        <v>188</v>
      </c>
      <c r="M115" t="s">
        <v>189</v>
      </c>
      <c r="N115" t="s">
        <v>190</v>
      </c>
      <c r="O115" s="6">
        <v>889256.88308699999</v>
      </c>
      <c r="P115" s="6">
        <v>-4.4872573990999998</v>
      </c>
      <c r="Q115" s="6">
        <v>-7.4800089999999999</v>
      </c>
      <c r="R115" s="6">
        <v>7.4800089999999999</v>
      </c>
      <c r="S115">
        <v>13</v>
      </c>
      <c r="T115" t="s">
        <v>191</v>
      </c>
      <c r="U115">
        <v>69</v>
      </c>
      <c r="V115" t="s">
        <v>192</v>
      </c>
      <c r="W115" s="1" t="s">
        <v>203</v>
      </c>
      <c r="X115" s="18">
        <v>0.59989999999999999</v>
      </c>
      <c r="Y115" s="18">
        <v>0.59989999999999999</v>
      </c>
      <c r="Z115" t="s">
        <v>194</v>
      </c>
      <c r="AA115">
        <v>193830</v>
      </c>
      <c r="AB115">
        <v>31130983</v>
      </c>
      <c r="AC115">
        <v>0</v>
      </c>
      <c r="AD115">
        <v>6394368</v>
      </c>
      <c r="AG115">
        <v>20871851</v>
      </c>
      <c r="AJ115">
        <v>192817</v>
      </c>
      <c r="AK115" t="s">
        <v>195</v>
      </c>
      <c r="AL115" t="s">
        <v>204</v>
      </c>
      <c r="AN115" t="s">
        <v>197</v>
      </c>
      <c r="AO115">
        <v>0.57489999999999997</v>
      </c>
      <c r="AP115">
        <v>121.080091</v>
      </c>
      <c r="AQ115" t="s">
        <v>54</v>
      </c>
      <c r="AR115" t="s">
        <v>198</v>
      </c>
      <c r="AS115" t="s">
        <v>199</v>
      </c>
      <c r="AT115" t="s">
        <v>200</v>
      </c>
    </row>
    <row r="116" spans="1:46" x14ac:dyDescent="0.3">
      <c r="A116">
        <v>3</v>
      </c>
      <c r="B116" s="5">
        <v>46302.356585648151</v>
      </c>
      <c r="C116" s="5">
        <v>46302.398229166669</v>
      </c>
      <c r="D116">
        <v>174666404</v>
      </c>
      <c r="E116">
        <v>2026</v>
      </c>
      <c r="F116">
        <v>10</v>
      </c>
      <c r="G116">
        <v>7</v>
      </c>
      <c r="H116" s="1" t="s">
        <v>184</v>
      </c>
      <c r="I116" t="s">
        <v>185</v>
      </c>
      <c r="J116" t="s">
        <v>186</v>
      </c>
      <c r="K116" t="s">
        <v>187</v>
      </c>
      <c r="L116" t="s">
        <v>188</v>
      </c>
      <c r="M116" t="s">
        <v>189</v>
      </c>
      <c r="N116" t="s">
        <v>190</v>
      </c>
      <c r="O116" s="6">
        <v>889249.40307799994</v>
      </c>
      <c r="P116" s="6">
        <v>-4.4719893441999998</v>
      </c>
      <c r="Q116" s="6">
        <v>-7.4545579999999996</v>
      </c>
      <c r="R116" s="6">
        <v>7.4545579999999996</v>
      </c>
      <c r="S116">
        <v>13</v>
      </c>
      <c r="T116" t="s">
        <v>191</v>
      </c>
      <c r="U116">
        <v>69</v>
      </c>
      <c r="V116" t="s">
        <v>192</v>
      </c>
      <c r="W116" s="1" t="s">
        <v>201</v>
      </c>
      <c r="X116" s="18">
        <v>0.59989999999999999</v>
      </c>
      <c r="Y116" s="18">
        <v>0.59989999999999999</v>
      </c>
      <c r="Z116" t="s">
        <v>194</v>
      </c>
      <c r="AA116">
        <v>193830</v>
      </c>
      <c r="AB116">
        <v>31131020</v>
      </c>
      <c r="AC116">
        <v>0</v>
      </c>
      <c r="AD116">
        <v>6394368</v>
      </c>
      <c r="AG116">
        <v>20712950</v>
      </c>
      <c r="AJ116">
        <v>194436</v>
      </c>
      <c r="AK116" t="s">
        <v>195</v>
      </c>
      <c r="AL116" t="s">
        <v>202</v>
      </c>
      <c r="AN116" t="s">
        <v>197</v>
      </c>
      <c r="AO116">
        <v>0.57489999999999997</v>
      </c>
      <c r="AP116">
        <v>121.09409100000001</v>
      </c>
      <c r="AQ116" t="s">
        <v>56</v>
      </c>
      <c r="AR116" t="s">
        <v>198</v>
      </c>
      <c r="AS116" t="s">
        <v>199</v>
      </c>
      <c r="AT116" t="s">
        <v>200</v>
      </c>
    </row>
    <row r="117" spans="1:46" x14ac:dyDescent="0.3">
      <c r="A117">
        <v>3</v>
      </c>
      <c r="B117" s="5">
        <v>46302.35696759259</v>
      </c>
      <c r="C117" s="5">
        <v>46302.398622685185</v>
      </c>
      <c r="D117">
        <v>174666514</v>
      </c>
      <c r="E117">
        <v>2026</v>
      </c>
      <c r="F117">
        <v>10</v>
      </c>
      <c r="G117">
        <v>7</v>
      </c>
      <c r="H117" s="1" t="s">
        <v>184</v>
      </c>
      <c r="I117" t="s">
        <v>185</v>
      </c>
      <c r="J117" t="s">
        <v>186</v>
      </c>
      <c r="K117" t="s">
        <v>187</v>
      </c>
      <c r="L117" t="s">
        <v>188</v>
      </c>
      <c r="M117" t="s">
        <v>189</v>
      </c>
      <c r="N117" t="s">
        <v>190</v>
      </c>
      <c r="O117" s="6">
        <v>889241.94851999998</v>
      </c>
      <c r="P117" s="6">
        <v>-5.8914037357</v>
      </c>
      <c r="Q117" s="6">
        <v>-9.8206430000000005</v>
      </c>
      <c r="R117" s="6">
        <v>9.8206430000000005</v>
      </c>
      <c r="S117">
        <v>13</v>
      </c>
      <c r="T117" t="s">
        <v>191</v>
      </c>
      <c r="U117">
        <v>69</v>
      </c>
      <c r="V117" t="s">
        <v>192</v>
      </c>
      <c r="W117" s="1" t="s">
        <v>205</v>
      </c>
      <c r="X117" s="18">
        <v>0.59989999999999999</v>
      </c>
      <c r="Y117" s="18">
        <v>0.59989999999999999</v>
      </c>
      <c r="Z117" t="s">
        <v>194</v>
      </c>
      <c r="AA117">
        <v>193830</v>
      </c>
      <c r="AB117">
        <v>31131035</v>
      </c>
      <c r="AC117">
        <v>0</v>
      </c>
      <c r="AD117">
        <v>6394368</v>
      </c>
      <c r="AG117">
        <v>20768074</v>
      </c>
      <c r="AJ117">
        <v>197576</v>
      </c>
      <c r="AK117" t="s">
        <v>195</v>
      </c>
      <c r="AL117" t="s">
        <v>206</v>
      </c>
      <c r="AN117" t="s">
        <v>197</v>
      </c>
      <c r="AO117">
        <v>0.57489999999999997</v>
      </c>
      <c r="AP117">
        <v>120.04309120000001</v>
      </c>
      <c r="AQ117" t="s">
        <v>39</v>
      </c>
      <c r="AR117" t="s">
        <v>198</v>
      </c>
      <c r="AS117" t="s">
        <v>199</v>
      </c>
      <c r="AT117" t="s">
        <v>200</v>
      </c>
    </row>
    <row r="118" spans="1:46" x14ac:dyDescent="0.3">
      <c r="A118">
        <v>3</v>
      </c>
      <c r="B118" s="5">
        <v>46302.357812499999</v>
      </c>
      <c r="C118" s="5">
        <v>46302.399467592593</v>
      </c>
      <c r="D118">
        <v>174666817</v>
      </c>
      <c r="E118">
        <v>2026</v>
      </c>
      <c r="F118">
        <v>10</v>
      </c>
      <c r="G118">
        <v>7</v>
      </c>
      <c r="H118" s="1" t="s">
        <v>184</v>
      </c>
      <c r="I118" t="s">
        <v>185</v>
      </c>
      <c r="J118" t="s">
        <v>186</v>
      </c>
      <c r="K118" t="s">
        <v>187</v>
      </c>
      <c r="L118" t="s">
        <v>188</v>
      </c>
      <c r="M118" t="s">
        <v>189</v>
      </c>
      <c r="N118" t="s">
        <v>190</v>
      </c>
      <c r="O118" s="6">
        <v>889232.12787700002</v>
      </c>
      <c r="P118" s="6">
        <v>-5.8914037357</v>
      </c>
      <c r="Q118" s="6">
        <v>-9.8206430000000005</v>
      </c>
      <c r="R118" s="6">
        <v>9.8206430000000005</v>
      </c>
      <c r="S118">
        <v>13</v>
      </c>
      <c r="T118" t="s">
        <v>191</v>
      </c>
      <c r="U118">
        <v>69</v>
      </c>
      <c r="V118" t="s">
        <v>192</v>
      </c>
      <c r="W118" s="1" t="s">
        <v>205</v>
      </c>
      <c r="X118" s="18">
        <v>0.59989999999999999</v>
      </c>
      <c r="Y118" s="18">
        <v>0.59989999999999999</v>
      </c>
      <c r="Z118" t="s">
        <v>194</v>
      </c>
      <c r="AA118">
        <v>193830</v>
      </c>
      <c r="AB118">
        <v>31131094</v>
      </c>
      <c r="AC118">
        <v>0</v>
      </c>
      <c r="AD118">
        <v>6394368</v>
      </c>
      <c r="AG118">
        <v>20768074</v>
      </c>
      <c r="AJ118">
        <v>197576</v>
      </c>
      <c r="AK118" t="s">
        <v>195</v>
      </c>
      <c r="AL118" t="s">
        <v>206</v>
      </c>
      <c r="AN118" t="s">
        <v>197</v>
      </c>
      <c r="AO118">
        <v>0.57489999999999997</v>
      </c>
      <c r="AP118">
        <v>120.04309120000001</v>
      </c>
      <c r="AQ118" t="s">
        <v>39</v>
      </c>
      <c r="AR118" t="s">
        <v>198</v>
      </c>
      <c r="AS118" t="s">
        <v>199</v>
      </c>
      <c r="AT118" t="s">
        <v>200</v>
      </c>
    </row>
    <row r="119" spans="1:46" x14ac:dyDescent="0.3">
      <c r="A119">
        <v>3</v>
      </c>
      <c r="B119" s="5">
        <v>46302.359490740739</v>
      </c>
      <c r="C119" s="5">
        <v>46302.401134259257</v>
      </c>
      <c r="D119">
        <v>174667214</v>
      </c>
      <c r="E119">
        <v>2026</v>
      </c>
      <c r="F119">
        <v>10</v>
      </c>
      <c r="G119">
        <v>7</v>
      </c>
      <c r="H119" s="1" t="s">
        <v>184</v>
      </c>
      <c r="I119" t="s">
        <v>185</v>
      </c>
      <c r="J119" t="s">
        <v>186</v>
      </c>
      <c r="K119" t="s">
        <v>187</v>
      </c>
      <c r="L119" t="s">
        <v>188</v>
      </c>
      <c r="M119" t="s">
        <v>189</v>
      </c>
      <c r="N119" t="s">
        <v>190</v>
      </c>
      <c r="O119" s="6">
        <v>889222.30723399995</v>
      </c>
      <c r="P119" s="6">
        <v>-5.8914037357</v>
      </c>
      <c r="Q119" s="6">
        <v>-9.8206430000000005</v>
      </c>
      <c r="R119" s="6">
        <v>9.8206430000000005</v>
      </c>
      <c r="S119">
        <v>13</v>
      </c>
      <c r="T119" t="s">
        <v>191</v>
      </c>
      <c r="U119">
        <v>69</v>
      </c>
      <c r="V119" t="s">
        <v>192</v>
      </c>
      <c r="W119" s="1" t="s">
        <v>205</v>
      </c>
      <c r="X119" s="18">
        <v>0.59989999999999999</v>
      </c>
      <c r="Y119" s="18">
        <v>0.59989999999999999</v>
      </c>
      <c r="Z119" t="s">
        <v>194</v>
      </c>
      <c r="AA119">
        <v>193830</v>
      </c>
      <c r="AB119">
        <v>31131146</v>
      </c>
      <c r="AC119">
        <v>0</v>
      </c>
      <c r="AD119">
        <v>6394368</v>
      </c>
      <c r="AG119">
        <v>20768074</v>
      </c>
      <c r="AJ119">
        <v>197576</v>
      </c>
      <c r="AK119" t="s">
        <v>195</v>
      </c>
      <c r="AL119" t="s">
        <v>206</v>
      </c>
      <c r="AN119" t="s">
        <v>197</v>
      </c>
      <c r="AO119">
        <v>0.57489999999999997</v>
      </c>
      <c r="AP119">
        <v>120.04309120000001</v>
      </c>
      <c r="AQ119" t="s">
        <v>39</v>
      </c>
      <c r="AR119" t="s">
        <v>198</v>
      </c>
      <c r="AS119" t="s">
        <v>199</v>
      </c>
      <c r="AT119" t="s">
        <v>200</v>
      </c>
    </row>
    <row r="120" spans="1:46" x14ac:dyDescent="0.3">
      <c r="A120">
        <v>3</v>
      </c>
      <c r="B120" s="5">
        <v>46302.360972222225</v>
      </c>
      <c r="C120" s="5">
        <v>46302.402615740742</v>
      </c>
      <c r="D120">
        <v>174667424</v>
      </c>
      <c r="E120">
        <v>2026</v>
      </c>
      <c r="F120">
        <v>10</v>
      </c>
      <c r="G120">
        <v>7</v>
      </c>
      <c r="H120" s="1" t="s">
        <v>184</v>
      </c>
      <c r="I120" t="s">
        <v>185</v>
      </c>
      <c r="J120" t="s">
        <v>186</v>
      </c>
      <c r="K120" t="s">
        <v>187</v>
      </c>
      <c r="L120" t="s">
        <v>188</v>
      </c>
      <c r="M120" t="s">
        <v>189</v>
      </c>
      <c r="N120" t="s">
        <v>190</v>
      </c>
      <c r="O120" s="6">
        <v>889212.48659099999</v>
      </c>
      <c r="P120" s="6">
        <v>-8.9212682740999991</v>
      </c>
      <c r="Q120" s="6">
        <v>-14.871259</v>
      </c>
      <c r="R120" s="6">
        <v>14.871259</v>
      </c>
      <c r="S120">
        <v>13</v>
      </c>
      <c r="T120" t="s">
        <v>191</v>
      </c>
      <c r="U120">
        <v>69</v>
      </c>
      <c r="V120" t="s">
        <v>192</v>
      </c>
      <c r="W120" s="1" t="s">
        <v>214</v>
      </c>
      <c r="X120" s="18">
        <v>0.59989999999999999</v>
      </c>
      <c r="Y120" s="18">
        <v>0.59989999999999999</v>
      </c>
      <c r="Z120" t="s">
        <v>194</v>
      </c>
      <c r="AA120">
        <v>193830</v>
      </c>
      <c r="AB120">
        <v>31131208</v>
      </c>
      <c r="AC120">
        <v>0</v>
      </c>
      <c r="AD120">
        <v>6394368</v>
      </c>
      <c r="AG120">
        <v>20916065</v>
      </c>
      <c r="AJ120">
        <v>195123</v>
      </c>
      <c r="AK120" t="s">
        <v>195</v>
      </c>
      <c r="AL120" t="s">
        <v>215</v>
      </c>
      <c r="AN120" t="s">
        <v>197</v>
      </c>
      <c r="AO120">
        <v>0.57489999999999997</v>
      </c>
      <c r="AP120">
        <v>121.00909015000001</v>
      </c>
      <c r="AQ120" t="s">
        <v>80</v>
      </c>
      <c r="AR120" t="s">
        <v>198</v>
      </c>
      <c r="AS120" t="s">
        <v>199</v>
      </c>
      <c r="AT120" t="s">
        <v>200</v>
      </c>
    </row>
    <row r="121" spans="1:46" x14ac:dyDescent="0.3">
      <c r="A121">
        <v>3</v>
      </c>
      <c r="B121" s="5">
        <v>46302.361863425926</v>
      </c>
      <c r="C121" s="5">
        <v>46302.403506944444</v>
      </c>
      <c r="D121">
        <v>174667606</v>
      </c>
      <c r="E121">
        <v>2026</v>
      </c>
      <c r="F121">
        <v>10</v>
      </c>
      <c r="G121">
        <v>7</v>
      </c>
      <c r="H121" s="1" t="s">
        <v>184</v>
      </c>
      <c r="I121" t="s">
        <v>185</v>
      </c>
      <c r="J121" t="s">
        <v>186</v>
      </c>
      <c r="K121" t="s">
        <v>187</v>
      </c>
      <c r="L121" t="s">
        <v>188</v>
      </c>
      <c r="M121" t="s">
        <v>189</v>
      </c>
      <c r="N121" t="s">
        <v>190</v>
      </c>
      <c r="O121" s="6">
        <v>889197.61533199996</v>
      </c>
      <c r="P121" s="6">
        <v>-4.4719893441999998</v>
      </c>
      <c r="Q121" s="6">
        <v>-7.4545579999999996</v>
      </c>
      <c r="R121" s="6">
        <v>7.4545579999999996</v>
      </c>
      <c r="S121">
        <v>13</v>
      </c>
      <c r="T121" t="s">
        <v>191</v>
      </c>
      <c r="U121">
        <v>69</v>
      </c>
      <c r="V121" t="s">
        <v>192</v>
      </c>
      <c r="W121" s="1" t="s">
        <v>201</v>
      </c>
      <c r="X121" s="18">
        <v>0.59989999999999999</v>
      </c>
      <c r="Y121" s="18">
        <v>0.59989999999999999</v>
      </c>
      <c r="Z121" t="s">
        <v>194</v>
      </c>
      <c r="AA121">
        <v>193830</v>
      </c>
      <c r="AB121">
        <v>31131241</v>
      </c>
      <c r="AC121">
        <v>0</v>
      </c>
      <c r="AD121">
        <v>6394368</v>
      </c>
      <c r="AG121">
        <v>20712950</v>
      </c>
      <c r="AJ121">
        <v>194436</v>
      </c>
      <c r="AK121" t="s">
        <v>195</v>
      </c>
      <c r="AL121" t="s">
        <v>202</v>
      </c>
      <c r="AN121" t="s">
        <v>197</v>
      </c>
      <c r="AO121">
        <v>0.57489999999999997</v>
      </c>
      <c r="AP121">
        <v>121.09409100000001</v>
      </c>
      <c r="AQ121" t="s">
        <v>56</v>
      </c>
      <c r="AR121" t="s">
        <v>198</v>
      </c>
      <c r="AS121" t="s">
        <v>199</v>
      </c>
      <c r="AT121" t="s">
        <v>200</v>
      </c>
    </row>
    <row r="122" spans="1:46" x14ac:dyDescent="0.3">
      <c r="A122">
        <v>3</v>
      </c>
      <c r="B122" s="5">
        <v>46302.363020833334</v>
      </c>
      <c r="C122" s="5">
        <v>46302.404664351852</v>
      </c>
      <c r="D122">
        <v>174667831</v>
      </c>
      <c r="E122">
        <v>2026</v>
      </c>
      <c r="F122">
        <v>10</v>
      </c>
      <c r="G122">
        <v>7</v>
      </c>
      <c r="H122" s="1" t="s">
        <v>184</v>
      </c>
      <c r="I122" t="s">
        <v>185</v>
      </c>
      <c r="J122" t="s">
        <v>186</v>
      </c>
      <c r="K122" t="s">
        <v>187</v>
      </c>
      <c r="L122" t="s">
        <v>188</v>
      </c>
      <c r="M122" t="s">
        <v>189</v>
      </c>
      <c r="N122" t="s">
        <v>190</v>
      </c>
      <c r="O122" s="6">
        <v>889190.16077399999</v>
      </c>
      <c r="P122" s="6">
        <v>-4.4719893441999998</v>
      </c>
      <c r="Q122" s="6">
        <v>-7.4545579999999996</v>
      </c>
      <c r="R122" s="6">
        <v>7.4545579999999996</v>
      </c>
      <c r="S122">
        <v>13</v>
      </c>
      <c r="T122" t="s">
        <v>191</v>
      </c>
      <c r="U122">
        <v>69</v>
      </c>
      <c r="V122" t="s">
        <v>192</v>
      </c>
      <c r="W122" s="1" t="s">
        <v>201</v>
      </c>
      <c r="X122" s="18">
        <v>0.59989999999999999</v>
      </c>
      <c r="Y122" s="18">
        <v>0.59989999999999999</v>
      </c>
      <c r="Z122" t="s">
        <v>194</v>
      </c>
      <c r="AA122">
        <v>193830</v>
      </c>
      <c r="AB122">
        <v>31131278</v>
      </c>
      <c r="AC122">
        <v>0</v>
      </c>
      <c r="AD122">
        <v>6394368</v>
      </c>
      <c r="AG122">
        <v>20712950</v>
      </c>
      <c r="AJ122">
        <v>194436</v>
      </c>
      <c r="AK122" t="s">
        <v>195</v>
      </c>
      <c r="AL122" t="s">
        <v>202</v>
      </c>
      <c r="AN122" t="s">
        <v>197</v>
      </c>
      <c r="AO122">
        <v>0.57489999999999997</v>
      </c>
      <c r="AP122">
        <v>121.09409100000001</v>
      </c>
      <c r="AQ122" t="s">
        <v>56</v>
      </c>
      <c r="AR122" t="s">
        <v>198</v>
      </c>
      <c r="AS122" t="s">
        <v>199</v>
      </c>
      <c r="AT122" t="s">
        <v>200</v>
      </c>
    </row>
    <row r="123" spans="1:46" x14ac:dyDescent="0.3">
      <c r="A123">
        <v>3</v>
      </c>
      <c r="B123" s="5">
        <v>46302.364212962966</v>
      </c>
      <c r="C123" s="5">
        <v>46302.405868055554</v>
      </c>
      <c r="D123">
        <v>174668149</v>
      </c>
      <c r="E123">
        <v>2026</v>
      </c>
      <c r="F123">
        <v>10</v>
      </c>
      <c r="G123">
        <v>7</v>
      </c>
      <c r="H123" s="1" t="s">
        <v>184</v>
      </c>
      <c r="I123" t="s">
        <v>185</v>
      </c>
      <c r="J123" t="s">
        <v>186</v>
      </c>
      <c r="K123" t="s">
        <v>187</v>
      </c>
      <c r="L123" t="s">
        <v>188</v>
      </c>
      <c r="M123" t="s">
        <v>189</v>
      </c>
      <c r="N123" t="s">
        <v>190</v>
      </c>
      <c r="O123" s="6">
        <v>889182.70621600002</v>
      </c>
      <c r="P123" s="6">
        <v>-5.8914037357</v>
      </c>
      <c r="Q123" s="6">
        <v>-9.8206430000000005</v>
      </c>
      <c r="R123" s="6">
        <v>9.8206430000000005</v>
      </c>
      <c r="S123">
        <v>13</v>
      </c>
      <c r="T123" t="s">
        <v>191</v>
      </c>
      <c r="U123">
        <v>69</v>
      </c>
      <c r="V123" t="s">
        <v>192</v>
      </c>
      <c r="W123" s="1" t="s">
        <v>205</v>
      </c>
      <c r="X123" s="18">
        <v>0.59989999999999999</v>
      </c>
      <c r="Y123" s="18">
        <v>0.59989999999999999</v>
      </c>
      <c r="Z123" t="s">
        <v>194</v>
      </c>
      <c r="AA123">
        <v>193830</v>
      </c>
      <c r="AB123">
        <v>31131331</v>
      </c>
      <c r="AC123">
        <v>0</v>
      </c>
      <c r="AD123">
        <v>6394368</v>
      </c>
      <c r="AG123">
        <v>20768074</v>
      </c>
      <c r="AJ123">
        <v>197576</v>
      </c>
      <c r="AK123" t="s">
        <v>195</v>
      </c>
      <c r="AL123" t="s">
        <v>206</v>
      </c>
      <c r="AN123" t="s">
        <v>197</v>
      </c>
      <c r="AO123">
        <v>0.57489999999999997</v>
      </c>
      <c r="AP123">
        <v>120.04309120000001</v>
      </c>
      <c r="AQ123" t="s">
        <v>39</v>
      </c>
      <c r="AR123" t="s">
        <v>198</v>
      </c>
      <c r="AS123" t="s">
        <v>199</v>
      </c>
      <c r="AT123" t="s">
        <v>200</v>
      </c>
    </row>
    <row r="124" spans="1:46" x14ac:dyDescent="0.3">
      <c r="A124">
        <v>3</v>
      </c>
      <c r="B124" s="5">
        <v>46302.364224537036</v>
      </c>
      <c r="C124" s="5">
        <v>46302.40587962963</v>
      </c>
      <c r="D124">
        <v>174668162</v>
      </c>
      <c r="E124">
        <v>2026</v>
      </c>
      <c r="F124">
        <v>10</v>
      </c>
      <c r="G124">
        <v>7</v>
      </c>
      <c r="H124" s="1" t="s">
        <v>184</v>
      </c>
      <c r="I124" t="s">
        <v>185</v>
      </c>
      <c r="J124" t="s">
        <v>186</v>
      </c>
      <c r="K124" t="s">
        <v>187</v>
      </c>
      <c r="L124" t="s">
        <v>188</v>
      </c>
      <c r="M124" t="s">
        <v>189</v>
      </c>
      <c r="N124" t="s">
        <v>190</v>
      </c>
      <c r="O124" s="6">
        <v>889172.88557299995</v>
      </c>
      <c r="P124" s="6">
        <v>-4.4719893441999998</v>
      </c>
      <c r="Q124" s="6">
        <v>-7.4545579999999996</v>
      </c>
      <c r="R124" s="6">
        <v>7.4545579999999996</v>
      </c>
      <c r="S124">
        <v>13</v>
      </c>
      <c r="T124" t="s">
        <v>191</v>
      </c>
      <c r="U124">
        <v>69</v>
      </c>
      <c r="V124" t="s">
        <v>192</v>
      </c>
      <c r="W124" s="1" t="s">
        <v>201</v>
      </c>
      <c r="X124" s="18">
        <v>0.59989999999999999</v>
      </c>
      <c r="Y124" s="18">
        <v>0.59989999999999999</v>
      </c>
      <c r="Z124" t="s">
        <v>194</v>
      </c>
      <c r="AA124">
        <v>193830</v>
      </c>
      <c r="AB124">
        <v>31131332</v>
      </c>
      <c r="AC124">
        <v>0</v>
      </c>
      <c r="AD124">
        <v>6394368</v>
      </c>
      <c r="AG124">
        <v>20712950</v>
      </c>
      <c r="AJ124">
        <v>194436</v>
      </c>
      <c r="AK124" t="s">
        <v>195</v>
      </c>
      <c r="AL124" t="s">
        <v>202</v>
      </c>
      <c r="AN124" t="s">
        <v>197</v>
      </c>
      <c r="AO124">
        <v>0.57489999999999997</v>
      </c>
      <c r="AP124">
        <v>121.09409100000001</v>
      </c>
      <c r="AQ124" t="s">
        <v>56</v>
      </c>
      <c r="AR124" t="s">
        <v>198</v>
      </c>
      <c r="AS124" t="s">
        <v>199</v>
      </c>
      <c r="AT124" t="s">
        <v>200</v>
      </c>
    </row>
    <row r="125" spans="1:46" x14ac:dyDescent="0.3">
      <c r="A125">
        <v>3</v>
      </c>
      <c r="B125" s="5">
        <v>46302.367638888885</v>
      </c>
      <c r="C125" s="5">
        <v>46302.409282407411</v>
      </c>
      <c r="D125">
        <v>174668873</v>
      </c>
      <c r="E125">
        <v>2026</v>
      </c>
      <c r="F125">
        <v>10</v>
      </c>
      <c r="G125">
        <v>7</v>
      </c>
      <c r="H125" s="1" t="s">
        <v>184</v>
      </c>
      <c r="I125" t="s">
        <v>185</v>
      </c>
      <c r="J125" t="s">
        <v>186</v>
      </c>
      <c r="K125" t="s">
        <v>187</v>
      </c>
      <c r="L125" t="s">
        <v>188</v>
      </c>
      <c r="M125" t="s">
        <v>189</v>
      </c>
      <c r="N125" t="s">
        <v>190</v>
      </c>
      <c r="O125" s="6">
        <v>889165.43101499998</v>
      </c>
      <c r="P125" s="6">
        <v>-4.4719893441999998</v>
      </c>
      <c r="Q125" s="6">
        <v>-7.4545579999999996</v>
      </c>
      <c r="R125" s="6">
        <v>7.4545579999999996</v>
      </c>
      <c r="S125">
        <v>13</v>
      </c>
      <c r="T125" t="s">
        <v>191</v>
      </c>
      <c r="U125">
        <v>69</v>
      </c>
      <c r="V125" t="s">
        <v>192</v>
      </c>
      <c r="W125" s="1" t="s">
        <v>201</v>
      </c>
      <c r="X125" s="18">
        <v>0.59989999999999999</v>
      </c>
      <c r="Y125" s="18">
        <v>0.59989999999999999</v>
      </c>
      <c r="Z125" t="s">
        <v>194</v>
      </c>
      <c r="AA125">
        <v>193830</v>
      </c>
      <c r="AB125">
        <v>31131444</v>
      </c>
      <c r="AC125">
        <v>0</v>
      </c>
      <c r="AD125">
        <v>6394368</v>
      </c>
      <c r="AG125">
        <v>20712950</v>
      </c>
      <c r="AJ125">
        <v>194436</v>
      </c>
      <c r="AK125" t="s">
        <v>195</v>
      </c>
      <c r="AL125" t="s">
        <v>202</v>
      </c>
      <c r="AN125" t="s">
        <v>197</v>
      </c>
      <c r="AO125">
        <v>0.57489999999999997</v>
      </c>
      <c r="AP125">
        <v>121.09409100000001</v>
      </c>
      <c r="AQ125" t="s">
        <v>56</v>
      </c>
      <c r="AR125" t="s">
        <v>198</v>
      </c>
      <c r="AS125" t="s">
        <v>199</v>
      </c>
      <c r="AT125" t="s">
        <v>200</v>
      </c>
    </row>
    <row r="126" spans="1:46" x14ac:dyDescent="0.3">
      <c r="A126">
        <v>3</v>
      </c>
      <c r="B126" s="5">
        <v>46302.369629629633</v>
      </c>
      <c r="C126" s="5">
        <v>46302.411273148151</v>
      </c>
      <c r="D126">
        <v>174669436</v>
      </c>
      <c r="E126">
        <v>2026</v>
      </c>
      <c r="F126">
        <v>10</v>
      </c>
      <c r="G126">
        <v>7</v>
      </c>
      <c r="H126" s="1" t="s">
        <v>184</v>
      </c>
      <c r="I126" t="s">
        <v>185</v>
      </c>
      <c r="J126" t="s">
        <v>186</v>
      </c>
      <c r="K126" t="s">
        <v>187</v>
      </c>
      <c r="L126" t="s">
        <v>188</v>
      </c>
      <c r="M126" t="s">
        <v>189</v>
      </c>
      <c r="N126" t="s">
        <v>190</v>
      </c>
      <c r="O126" s="6">
        <v>889157.97645700001</v>
      </c>
      <c r="P126" s="6">
        <v>-4.4872573990999998</v>
      </c>
      <c r="Q126" s="6">
        <v>-7.4800089999999999</v>
      </c>
      <c r="R126" s="6">
        <v>7.4800089999999999</v>
      </c>
      <c r="S126">
        <v>13</v>
      </c>
      <c r="T126" t="s">
        <v>191</v>
      </c>
      <c r="U126">
        <v>69</v>
      </c>
      <c r="V126" t="s">
        <v>192</v>
      </c>
      <c r="W126" s="1" t="s">
        <v>203</v>
      </c>
      <c r="X126" s="18">
        <v>0.59989999999999999</v>
      </c>
      <c r="Y126" s="18">
        <v>0.59989999999999999</v>
      </c>
      <c r="Z126" t="s">
        <v>194</v>
      </c>
      <c r="AA126">
        <v>193830</v>
      </c>
      <c r="AB126">
        <v>31131549</v>
      </c>
      <c r="AC126">
        <v>0</v>
      </c>
      <c r="AD126">
        <v>6394368</v>
      </c>
      <c r="AG126">
        <v>20871851</v>
      </c>
      <c r="AJ126">
        <v>192817</v>
      </c>
      <c r="AK126" t="s">
        <v>195</v>
      </c>
      <c r="AL126" t="s">
        <v>204</v>
      </c>
      <c r="AN126" t="s">
        <v>197</v>
      </c>
      <c r="AO126">
        <v>0.57489999999999997</v>
      </c>
      <c r="AP126">
        <v>121.080091</v>
      </c>
      <c r="AQ126" t="s">
        <v>54</v>
      </c>
      <c r="AR126" t="s">
        <v>198</v>
      </c>
      <c r="AS126" t="s">
        <v>199</v>
      </c>
      <c r="AT126" t="s">
        <v>200</v>
      </c>
    </row>
    <row r="127" spans="1:46" x14ac:dyDescent="0.3">
      <c r="A127">
        <v>3</v>
      </c>
      <c r="B127" s="5">
        <v>46302.37023148148</v>
      </c>
      <c r="C127" s="5">
        <v>46302.411874999998</v>
      </c>
      <c r="D127">
        <v>174669513</v>
      </c>
      <c r="E127">
        <v>2026</v>
      </c>
      <c r="F127">
        <v>10</v>
      </c>
      <c r="G127">
        <v>7</v>
      </c>
      <c r="H127" s="1" t="s">
        <v>184</v>
      </c>
      <c r="I127" t="s">
        <v>185</v>
      </c>
      <c r="J127" t="s">
        <v>186</v>
      </c>
      <c r="K127" t="s">
        <v>187</v>
      </c>
      <c r="L127" t="s">
        <v>188</v>
      </c>
      <c r="M127" t="s">
        <v>189</v>
      </c>
      <c r="N127" t="s">
        <v>190</v>
      </c>
      <c r="O127" s="6">
        <v>889150.49644799996</v>
      </c>
      <c r="P127" s="6">
        <v>-4.4872573990999998</v>
      </c>
      <c r="Q127" s="6">
        <v>-7.4800089999999999</v>
      </c>
      <c r="R127" s="6">
        <v>7.4800089999999999</v>
      </c>
      <c r="S127">
        <v>13</v>
      </c>
      <c r="T127" t="s">
        <v>191</v>
      </c>
      <c r="U127">
        <v>69</v>
      </c>
      <c r="V127" t="s">
        <v>192</v>
      </c>
      <c r="W127" s="1" t="s">
        <v>203</v>
      </c>
      <c r="X127" s="18">
        <v>0.59989999999999999</v>
      </c>
      <c r="Y127" s="18">
        <v>0.59989999999999999</v>
      </c>
      <c r="Z127" t="s">
        <v>194</v>
      </c>
      <c r="AA127">
        <v>193830</v>
      </c>
      <c r="AB127">
        <v>31131566</v>
      </c>
      <c r="AC127">
        <v>0</v>
      </c>
      <c r="AD127">
        <v>6394368</v>
      </c>
      <c r="AG127">
        <v>20871851</v>
      </c>
      <c r="AJ127">
        <v>192817</v>
      </c>
      <c r="AK127" t="s">
        <v>195</v>
      </c>
      <c r="AL127" t="s">
        <v>204</v>
      </c>
      <c r="AN127" t="s">
        <v>197</v>
      </c>
      <c r="AO127">
        <v>0.57489999999999997</v>
      </c>
      <c r="AP127">
        <v>121.080091</v>
      </c>
      <c r="AQ127" t="s">
        <v>54</v>
      </c>
      <c r="AR127" t="s">
        <v>198</v>
      </c>
      <c r="AS127" t="s">
        <v>199</v>
      </c>
      <c r="AT127" t="s">
        <v>200</v>
      </c>
    </row>
    <row r="128" spans="1:46" x14ac:dyDescent="0.3">
      <c r="A128">
        <v>3</v>
      </c>
      <c r="B128" s="5">
        <v>46302.371157407404</v>
      </c>
      <c r="C128" s="5">
        <v>46302.412800925929</v>
      </c>
      <c r="D128">
        <v>174669706</v>
      </c>
      <c r="E128">
        <v>2026</v>
      </c>
      <c r="F128">
        <v>10</v>
      </c>
      <c r="G128">
        <v>7</v>
      </c>
      <c r="H128" s="1" t="s">
        <v>184</v>
      </c>
      <c r="I128" t="s">
        <v>185</v>
      </c>
      <c r="J128" t="s">
        <v>186</v>
      </c>
      <c r="K128" t="s">
        <v>187</v>
      </c>
      <c r="L128" t="s">
        <v>188</v>
      </c>
      <c r="M128" t="s">
        <v>189</v>
      </c>
      <c r="N128" t="s">
        <v>190</v>
      </c>
      <c r="O128" s="6">
        <v>889143.01643900003</v>
      </c>
      <c r="P128" s="6">
        <v>-4.4872573990999998</v>
      </c>
      <c r="Q128" s="6">
        <v>-7.4800089999999999</v>
      </c>
      <c r="R128" s="6">
        <v>7.4800089999999999</v>
      </c>
      <c r="S128">
        <v>13</v>
      </c>
      <c r="T128" t="s">
        <v>191</v>
      </c>
      <c r="U128">
        <v>69</v>
      </c>
      <c r="V128" t="s">
        <v>192</v>
      </c>
      <c r="W128" s="1" t="s">
        <v>203</v>
      </c>
      <c r="X128" s="18">
        <v>0.59989999999999999</v>
      </c>
      <c r="Y128" s="18">
        <v>0.59989999999999999</v>
      </c>
      <c r="Z128" t="s">
        <v>194</v>
      </c>
      <c r="AA128">
        <v>193830</v>
      </c>
      <c r="AB128">
        <v>31131595</v>
      </c>
      <c r="AC128">
        <v>0</v>
      </c>
      <c r="AD128">
        <v>6394368</v>
      </c>
      <c r="AG128">
        <v>20871851</v>
      </c>
      <c r="AJ128">
        <v>192817</v>
      </c>
      <c r="AK128" t="s">
        <v>195</v>
      </c>
      <c r="AL128" t="s">
        <v>204</v>
      </c>
      <c r="AN128" t="s">
        <v>197</v>
      </c>
      <c r="AO128">
        <v>0.57489999999999997</v>
      </c>
      <c r="AP128">
        <v>121.080091</v>
      </c>
      <c r="AQ128" t="s">
        <v>54</v>
      </c>
      <c r="AR128" t="s">
        <v>198</v>
      </c>
      <c r="AS128" t="s">
        <v>199</v>
      </c>
      <c r="AT128" t="s">
        <v>200</v>
      </c>
    </row>
    <row r="129" spans="1:46" x14ac:dyDescent="0.3">
      <c r="A129">
        <v>3</v>
      </c>
      <c r="B129" s="5">
        <v>46302.371354166666</v>
      </c>
      <c r="C129" s="5">
        <v>46302.412997685184</v>
      </c>
      <c r="D129">
        <v>174669756</v>
      </c>
      <c r="E129">
        <v>2026</v>
      </c>
      <c r="F129">
        <v>10</v>
      </c>
      <c r="G129">
        <v>7</v>
      </c>
      <c r="H129" s="1" t="s">
        <v>184</v>
      </c>
      <c r="I129" t="s">
        <v>185</v>
      </c>
      <c r="J129" t="s">
        <v>186</v>
      </c>
      <c r="K129" t="s">
        <v>187</v>
      </c>
      <c r="L129" t="s">
        <v>188</v>
      </c>
      <c r="M129" t="s">
        <v>189</v>
      </c>
      <c r="N129" t="s">
        <v>190</v>
      </c>
      <c r="O129" s="6">
        <v>889135.53642999998</v>
      </c>
      <c r="P129" s="6">
        <v>-4.4872573990999998</v>
      </c>
      <c r="Q129" s="6">
        <v>-7.4800089999999999</v>
      </c>
      <c r="R129" s="6">
        <v>7.4800089999999999</v>
      </c>
      <c r="S129">
        <v>13</v>
      </c>
      <c r="T129" t="s">
        <v>191</v>
      </c>
      <c r="U129">
        <v>69</v>
      </c>
      <c r="V129" t="s">
        <v>192</v>
      </c>
      <c r="W129" s="1" t="s">
        <v>203</v>
      </c>
      <c r="X129" s="18">
        <v>0.59989999999999999</v>
      </c>
      <c r="Y129" s="18">
        <v>0.59989999999999999</v>
      </c>
      <c r="Z129" t="s">
        <v>194</v>
      </c>
      <c r="AA129">
        <v>193830</v>
      </c>
      <c r="AB129">
        <v>31131600</v>
      </c>
      <c r="AC129">
        <v>0</v>
      </c>
      <c r="AD129">
        <v>6394368</v>
      </c>
      <c r="AG129">
        <v>20871851</v>
      </c>
      <c r="AJ129">
        <v>192817</v>
      </c>
      <c r="AK129" t="s">
        <v>195</v>
      </c>
      <c r="AL129" t="s">
        <v>204</v>
      </c>
      <c r="AN129" t="s">
        <v>197</v>
      </c>
      <c r="AO129">
        <v>0.57489999999999997</v>
      </c>
      <c r="AP129">
        <v>121.080091</v>
      </c>
      <c r="AQ129" t="s">
        <v>54</v>
      </c>
      <c r="AR129" t="s">
        <v>198</v>
      </c>
      <c r="AS129" t="s">
        <v>199</v>
      </c>
      <c r="AT129" t="s">
        <v>200</v>
      </c>
    </row>
    <row r="130" spans="1:46" x14ac:dyDescent="0.3">
      <c r="A130">
        <v>3</v>
      </c>
      <c r="B130" s="5">
        <v>46302.372141203705</v>
      </c>
      <c r="C130" s="5">
        <v>46302.413784722223</v>
      </c>
      <c r="D130">
        <v>174669894</v>
      </c>
      <c r="E130">
        <v>2026</v>
      </c>
      <c r="F130">
        <v>10</v>
      </c>
      <c r="G130">
        <v>7</v>
      </c>
      <c r="H130" s="1" t="s">
        <v>184</v>
      </c>
      <c r="I130" t="s">
        <v>185</v>
      </c>
      <c r="J130" t="s">
        <v>186</v>
      </c>
      <c r="K130" t="s">
        <v>187</v>
      </c>
      <c r="L130" t="s">
        <v>188</v>
      </c>
      <c r="M130" t="s">
        <v>189</v>
      </c>
      <c r="N130" t="s">
        <v>190</v>
      </c>
      <c r="O130" s="6">
        <v>889128.05642100004</v>
      </c>
      <c r="P130" s="6">
        <v>-4.4872573990999998</v>
      </c>
      <c r="Q130" s="6">
        <v>-7.4800089999999999</v>
      </c>
      <c r="R130" s="6">
        <v>7.4800089999999999</v>
      </c>
      <c r="S130">
        <v>13</v>
      </c>
      <c r="T130" t="s">
        <v>191</v>
      </c>
      <c r="U130">
        <v>69</v>
      </c>
      <c r="V130" t="s">
        <v>192</v>
      </c>
      <c r="W130" s="1" t="s">
        <v>203</v>
      </c>
      <c r="X130" s="18">
        <v>0.59989999999999999</v>
      </c>
      <c r="Y130" s="18">
        <v>0.59989999999999999</v>
      </c>
      <c r="Z130" t="s">
        <v>194</v>
      </c>
      <c r="AA130">
        <v>193830</v>
      </c>
      <c r="AB130">
        <v>31131615</v>
      </c>
      <c r="AC130">
        <v>0</v>
      </c>
      <c r="AD130">
        <v>6394368</v>
      </c>
      <c r="AG130">
        <v>20871851</v>
      </c>
      <c r="AJ130">
        <v>192817</v>
      </c>
      <c r="AK130" t="s">
        <v>195</v>
      </c>
      <c r="AL130" t="s">
        <v>204</v>
      </c>
      <c r="AN130" t="s">
        <v>197</v>
      </c>
      <c r="AO130">
        <v>0.57489999999999997</v>
      </c>
      <c r="AP130">
        <v>121.080091</v>
      </c>
      <c r="AQ130" t="s">
        <v>54</v>
      </c>
      <c r="AR130" t="s">
        <v>198</v>
      </c>
      <c r="AS130" t="s">
        <v>199</v>
      </c>
      <c r="AT130" t="s">
        <v>200</v>
      </c>
    </row>
    <row r="131" spans="1:46" x14ac:dyDescent="0.3">
      <c r="A131">
        <v>3</v>
      </c>
      <c r="B131" s="5">
        <v>46302.374293981484</v>
      </c>
      <c r="C131" s="5">
        <v>46302.415925925925</v>
      </c>
      <c r="D131">
        <v>174670470</v>
      </c>
      <c r="E131">
        <v>2026</v>
      </c>
      <c r="F131">
        <v>10</v>
      </c>
      <c r="G131">
        <v>7</v>
      </c>
      <c r="H131" s="1" t="s">
        <v>184</v>
      </c>
      <c r="I131" t="s">
        <v>185</v>
      </c>
      <c r="J131" t="s">
        <v>186</v>
      </c>
      <c r="K131" t="s">
        <v>187</v>
      </c>
      <c r="L131" t="s">
        <v>188</v>
      </c>
      <c r="M131" t="s">
        <v>189</v>
      </c>
      <c r="N131" t="s">
        <v>190</v>
      </c>
      <c r="O131" s="6">
        <v>889120.57641199999</v>
      </c>
      <c r="P131" s="6">
        <v>-8.9212682740999991</v>
      </c>
      <c r="Q131" s="6">
        <v>-14.871259</v>
      </c>
      <c r="R131" s="6">
        <v>14.871259</v>
      </c>
      <c r="S131">
        <v>13</v>
      </c>
      <c r="T131" t="s">
        <v>191</v>
      </c>
      <c r="U131">
        <v>69</v>
      </c>
      <c r="V131" t="s">
        <v>192</v>
      </c>
      <c r="W131" s="1" t="s">
        <v>214</v>
      </c>
      <c r="X131" s="18">
        <v>0.59989999999999999</v>
      </c>
      <c r="Y131" s="18">
        <v>0.59989999999999999</v>
      </c>
      <c r="Z131" t="s">
        <v>194</v>
      </c>
      <c r="AA131">
        <v>193830</v>
      </c>
      <c r="AB131">
        <v>31131726</v>
      </c>
      <c r="AC131">
        <v>0</v>
      </c>
      <c r="AD131">
        <v>6394368</v>
      </c>
      <c r="AG131">
        <v>20916065</v>
      </c>
      <c r="AJ131">
        <v>195123</v>
      </c>
      <c r="AK131" t="s">
        <v>195</v>
      </c>
      <c r="AL131" t="s">
        <v>215</v>
      </c>
      <c r="AN131" t="s">
        <v>197</v>
      </c>
      <c r="AO131">
        <v>0.57489999999999997</v>
      </c>
      <c r="AP131">
        <v>121.00909015000001</v>
      </c>
      <c r="AQ131" t="s">
        <v>80</v>
      </c>
      <c r="AR131" t="s">
        <v>198</v>
      </c>
      <c r="AS131" t="s">
        <v>199</v>
      </c>
      <c r="AT131" t="s">
        <v>200</v>
      </c>
    </row>
    <row r="132" spans="1:46" x14ac:dyDescent="0.3">
      <c r="A132">
        <v>3</v>
      </c>
      <c r="B132" s="5">
        <v>46302.375474537039</v>
      </c>
      <c r="C132" s="5">
        <v>46302.41710648148</v>
      </c>
      <c r="D132">
        <v>174670646</v>
      </c>
      <c r="E132">
        <v>2026</v>
      </c>
      <c r="F132">
        <v>10</v>
      </c>
      <c r="G132">
        <v>7</v>
      </c>
      <c r="H132" s="1" t="s">
        <v>184</v>
      </c>
      <c r="I132" t="s">
        <v>185</v>
      </c>
      <c r="J132" t="s">
        <v>186</v>
      </c>
      <c r="K132" t="s">
        <v>187</v>
      </c>
      <c r="L132" t="s">
        <v>188</v>
      </c>
      <c r="M132" t="s">
        <v>189</v>
      </c>
      <c r="N132" t="s">
        <v>190</v>
      </c>
      <c r="O132" s="6">
        <v>889105.70515299996</v>
      </c>
      <c r="P132" s="6">
        <v>-4.4872573990999998</v>
      </c>
      <c r="Q132" s="6">
        <v>-7.4800089999999999</v>
      </c>
      <c r="R132" s="6">
        <v>7.4800089999999999</v>
      </c>
      <c r="S132">
        <v>13</v>
      </c>
      <c r="T132" t="s">
        <v>191</v>
      </c>
      <c r="U132">
        <v>69</v>
      </c>
      <c r="V132" t="s">
        <v>192</v>
      </c>
      <c r="W132" s="1" t="s">
        <v>203</v>
      </c>
      <c r="X132" s="18">
        <v>0.59989999999999999</v>
      </c>
      <c r="Y132" s="18">
        <v>0.59989999999999999</v>
      </c>
      <c r="Z132" t="s">
        <v>194</v>
      </c>
      <c r="AA132">
        <v>193830</v>
      </c>
      <c r="AB132">
        <v>31131758</v>
      </c>
      <c r="AC132">
        <v>0</v>
      </c>
      <c r="AD132">
        <v>6394368</v>
      </c>
      <c r="AG132">
        <v>20871851</v>
      </c>
      <c r="AJ132">
        <v>192817</v>
      </c>
      <c r="AK132" t="s">
        <v>195</v>
      </c>
      <c r="AL132" t="s">
        <v>204</v>
      </c>
      <c r="AN132" t="s">
        <v>197</v>
      </c>
      <c r="AO132">
        <v>0.57489999999999997</v>
      </c>
      <c r="AP132">
        <v>121.080091</v>
      </c>
      <c r="AQ132" t="s">
        <v>54</v>
      </c>
      <c r="AR132" t="s">
        <v>198</v>
      </c>
      <c r="AS132" t="s">
        <v>199</v>
      </c>
      <c r="AT132" t="s">
        <v>200</v>
      </c>
    </row>
    <row r="133" spans="1:46" x14ac:dyDescent="0.3">
      <c r="A133">
        <v>3</v>
      </c>
      <c r="B133" s="5">
        <v>46302.376319444447</v>
      </c>
      <c r="C133" s="5">
        <v>46302.417962962965</v>
      </c>
      <c r="D133">
        <v>174670970</v>
      </c>
      <c r="E133">
        <v>2026</v>
      </c>
      <c r="F133">
        <v>10</v>
      </c>
      <c r="G133">
        <v>7</v>
      </c>
      <c r="H133" s="1" t="s">
        <v>184</v>
      </c>
      <c r="I133" t="s">
        <v>185</v>
      </c>
      <c r="J133" t="s">
        <v>186</v>
      </c>
      <c r="K133" t="s">
        <v>187</v>
      </c>
      <c r="L133" t="s">
        <v>188</v>
      </c>
      <c r="M133" t="s">
        <v>189</v>
      </c>
      <c r="N133" t="s">
        <v>190</v>
      </c>
      <c r="O133" s="6">
        <v>889098.22514400003</v>
      </c>
      <c r="P133" s="6">
        <v>-4.4872573990999998</v>
      </c>
      <c r="Q133" s="6">
        <v>-7.4800089999999999</v>
      </c>
      <c r="R133" s="6">
        <v>7.4800089999999999</v>
      </c>
      <c r="S133">
        <v>13</v>
      </c>
      <c r="T133" t="s">
        <v>191</v>
      </c>
      <c r="U133">
        <v>69</v>
      </c>
      <c r="V133" t="s">
        <v>192</v>
      </c>
      <c r="W133" s="1" t="s">
        <v>203</v>
      </c>
      <c r="X133" s="18">
        <v>0.59989999999999999</v>
      </c>
      <c r="Y133" s="18">
        <v>0.59989999999999999</v>
      </c>
      <c r="Z133" t="s">
        <v>194</v>
      </c>
      <c r="AA133">
        <v>193830</v>
      </c>
      <c r="AB133">
        <v>31131806</v>
      </c>
      <c r="AC133">
        <v>0</v>
      </c>
      <c r="AD133">
        <v>6394368</v>
      </c>
      <c r="AG133">
        <v>20871851</v>
      </c>
      <c r="AJ133">
        <v>192817</v>
      </c>
      <c r="AK133" t="s">
        <v>195</v>
      </c>
      <c r="AL133" t="s">
        <v>204</v>
      </c>
      <c r="AN133" t="s">
        <v>197</v>
      </c>
      <c r="AO133">
        <v>0.57489999999999997</v>
      </c>
      <c r="AP133">
        <v>121.080091</v>
      </c>
      <c r="AQ133" t="s">
        <v>54</v>
      </c>
      <c r="AR133" t="s">
        <v>198</v>
      </c>
      <c r="AS133" t="s">
        <v>199</v>
      </c>
      <c r="AT133" t="s">
        <v>200</v>
      </c>
    </row>
    <row r="134" spans="1:46" x14ac:dyDescent="0.3">
      <c r="A134">
        <v>3</v>
      </c>
      <c r="B134" s="5">
        <v>46302.377430555556</v>
      </c>
      <c r="C134" s="5">
        <v>46302.419085648151</v>
      </c>
      <c r="D134">
        <v>174671170</v>
      </c>
      <c r="E134">
        <v>2026</v>
      </c>
      <c r="F134">
        <v>10</v>
      </c>
      <c r="G134">
        <v>7</v>
      </c>
      <c r="H134" s="1" t="s">
        <v>184</v>
      </c>
      <c r="I134" t="s">
        <v>185</v>
      </c>
      <c r="J134" t="s">
        <v>186</v>
      </c>
      <c r="K134" t="s">
        <v>187</v>
      </c>
      <c r="L134" t="s">
        <v>188</v>
      </c>
      <c r="M134" t="s">
        <v>189</v>
      </c>
      <c r="N134" t="s">
        <v>190</v>
      </c>
      <c r="O134" s="6">
        <v>889090.74513499998</v>
      </c>
      <c r="P134" s="6">
        <v>-4.4872573990999998</v>
      </c>
      <c r="Q134" s="6">
        <v>-7.4800089999999999</v>
      </c>
      <c r="R134" s="6">
        <v>7.4800089999999999</v>
      </c>
      <c r="S134">
        <v>13</v>
      </c>
      <c r="T134" t="s">
        <v>191</v>
      </c>
      <c r="U134">
        <v>69</v>
      </c>
      <c r="V134" t="s">
        <v>192</v>
      </c>
      <c r="W134" s="1" t="s">
        <v>203</v>
      </c>
      <c r="X134" s="18">
        <v>0.59989999999999999</v>
      </c>
      <c r="Y134" s="18">
        <v>0.59989999999999999</v>
      </c>
      <c r="Z134" t="s">
        <v>194</v>
      </c>
      <c r="AA134">
        <v>193830</v>
      </c>
      <c r="AB134">
        <v>31131831</v>
      </c>
      <c r="AC134">
        <v>0</v>
      </c>
      <c r="AD134">
        <v>6394368</v>
      </c>
      <c r="AG134">
        <v>20871851</v>
      </c>
      <c r="AJ134">
        <v>192817</v>
      </c>
      <c r="AK134" t="s">
        <v>195</v>
      </c>
      <c r="AL134" t="s">
        <v>204</v>
      </c>
      <c r="AN134" t="s">
        <v>197</v>
      </c>
      <c r="AO134">
        <v>0.57489999999999997</v>
      </c>
      <c r="AP134">
        <v>121.080091</v>
      </c>
      <c r="AQ134" t="s">
        <v>54</v>
      </c>
      <c r="AR134" t="s">
        <v>198</v>
      </c>
      <c r="AS134" t="s">
        <v>199</v>
      </c>
      <c r="AT134" t="s">
        <v>200</v>
      </c>
    </row>
    <row r="135" spans="1:46" x14ac:dyDescent="0.3">
      <c r="A135">
        <v>3</v>
      </c>
      <c r="B135" s="5">
        <v>46302.378194444442</v>
      </c>
      <c r="C135" s="5">
        <v>46302.41983796296</v>
      </c>
      <c r="D135">
        <v>174671326</v>
      </c>
      <c r="E135">
        <v>2026</v>
      </c>
      <c r="F135">
        <v>10</v>
      </c>
      <c r="G135">
        <v>7</v>
      </c>
      <c r="H135" s="1" t="s">
        <v>184</v>
      </c>
      <c r="I135" t="s">
        <v>185</v>
      </c>
      <c r="J135" t="s">
        <v>186</v>
      </c>
      <c r="K135" t="s">
        <v>187</v>
      </c>
      <c r="L135" t="s">
        <v>188</v>
      </c>
      <c r="M135" t="s">
        <v>189</v>
      </c>
      <c r="N135" t="s">
        <v>190</v>
      </c>
      <c r="O135" s="6">
        <v>889083.26512600004</v>
      </c>
      <c r="P135" s="6">
        <v>-4.4872573990999998</v>
      </c>
      <c r="Q135" s="6">
        <v>-7.4800089999999999</v>
      </c>
      <c r="R135" s="6">
        <v>7.4800089999999999</v>
      </c>
      <c r="S135">
        <v>13</v>
      </c>
      <c r="T135" t="s">
        <v>191</v>
      </c>
      <c r="U135">
        <v>69</v>
      </c>
      <c r="V135" t="s">
        <v>192</v>
      </c>
      <c r="W135" s="1" t="s">
        <v>203</v>
      </c>
      <c r="X135" s="18">
        <v>0.59989999999999999</v>
      </c>
      <c r="Y135" s="18">
        <v>0.59989999999999999</v>
      </c>
      <c r="Z135" t="s">
        <v>194</v>
      </c>
      <c r="AA135">
        <v>193830</v>
      </c>
      <c r="AB135">
        <v>31131855</v>
      </c>
      <c r="AC135">
        <v>0</v>
      </c>
      <c r="AD135">
        <v>6394368</v>
      </c>
      <c r="AG135">
        <v>20871851</v>
      </c>
      <c r="AJ135">
        <v>192817</v>
      </c>
      <c r="AK135" t="s">
        <v>195</v>
      </c>
      <c r="AL135" t="s">
        <v>204</v>
      </c>
      <c r="AN135" t="s">
        <v>197</v>
      </c>
      <c r="AO135">
        <v>0.57489999999999997</v>
      </c>
      <c r="AP135">
        <v>121.080091</v>
      </c>
      <c r="AQ135" t="s">
        <v>54</v>
      </c>
      <c r="AR135" t="s">
        <v>198</v>
      </c>
      <c r="AS135" t="s">
        <v>199</v>
      </c>
      <c r="AT135" t="s">
        <v>200</v>
      </c>
    </row>
    <row r="136" spans="1:46" x14ac:dyDescent="0.3">
      <c r="A136">
        <v>3</v>
      </c>
      <c r="B136" s="5">
        <v>46302.378391203703</v>
      </c>
      <c r="C136" s="5">
        <v>46302.420023148145</v>
      </c>
      <c r="D136">
        <v>174671377</v>
      </c>
      <c r="E136">
        <v>2026</v>
      </c>
      <c r="F136">
        <v>10</v>
      </c>
      <c r="G136">
        <v>7</v>
      </c>
      <c r="H136" s="1" t="s">
        <v>184</v>
      </c>
      <c r="I136" t="s">
        <v>185</v>
      </c>
      <c r="J136" t="s">
        <v>186</v>
      </c>
      <c r="K136" t="s">
        <v>187</v>
      </c>
      <c r="L136" t="s">
        <v>188</v>
      </c>
      <c r="M136" t="s">
        <v>189</v>
      </c>
      <c r="N136" t="s">
        <v>190</v>
      </c>
      <c r="O136" s="6">
        <v>889075.78511699999</v>
      </c>
      <c r="P136" s="6">
        <v>-5.8914037357</v>
      </c>
      <c r="Q136" s="6">
        <v>-9.8206430000000005</v>
      </c>
      <c r="R136" s="6">
        <v>9.8206430000000005</v>
      </c>
      <c r="S136">
        <v>13</v>
      </c>
      <c r="T136" t="s">
        <v>191</v>
      </c>
      <c r="U136">
        <v>69</v>
      </c>
      <c r="V136" t="s">
        <v>192</v>
      </c>
      <c r="W136" s="1" t="s">
        <v>205</v>
      </c>
      <c r="X136" s="18">
        <v>0.59989999999999999</v>
      </c>
      <c r="Y136" s="18">
        <v>0.59989999999999999</v>
      </c>
      <c r="Z136" t="s">
        <v>194</v>
      </c>
      <c r="AA136">
        <v>193830</v>
      </c>
      <c r="AB136">
        <v>31131866</v>
      </c>
      <c r="AC136">
        <v>0</v>
      </c>
      <c r="AD136">
        <v>6394368</v>
      </c>
      <c r="AG136">
        <v>20969340</v>
      </c>
      <c r="AJ136">
        <v>197576</v>
      </c>
      <c r="AK136" t="s">
        <v>195</v>
      </c>
      <c r="AL136" t="s">
        <v>216</v>
      </c>
      <c r="AN136" t="s">
        <v>197</v>
      </c>
      <c r="AO136">
        <v>0.57489999999999997</v>
      </c>
      <c r="AP136">
        <v>120.04309120000001</v>
      </c>
      <c r="AQ136" t="s">
        <v>39</v>
      </c>
      <c r="AR136" t="s">
        <v>198</v>
      </c>
      <c r="AS136" t="s">
        <v>199</v>
      </c>
      <c r="AT136" t="s">
        <v>200</v>
      </c>
    </row>
    <row r="137" spans="1:46" x14ac:dyDescent="0.3">
      <c r="A137">
        <v>3</v>
      </c>
      <c r="B137" s="5">
        <v>46302.378437500003</v>
      </c>
      <c r="C137" s="5">
        <v>46302.420081018521</v>
      </c>
      <c r="D137">
        <v>174671394</v>
      </c>
      <c r="E137">
        <v>2026</v>
      </c>
      <c r="F137">
        <v>10</v>
      </c>
      <c r="G137">
        <v>7</v>
      </c>
      <c r="H137" s="1" t="s">
        <v>184</v>
      </c>
      <c r="I137" t="s">
        <v>185</v>
      </c>
      <c r="J137" t="s">
        <v>186</v>
      </c>
      <c r="K137" t="s">
        <v>187</v>
      </c>
      <c r="L137" t="s">
        <v>188</v>
      </c>
      <c r="M137" t="s">
        <v>189</v>
      </c>
      <c r="N137" t="s">
        <v>190</v>
      </c>
      <c r="O137" s="6">
        <v>889065.96447400004</v>
      </c>
      <c r="P137" s="6">
        <v>-5.8914037357</v>
      </c>
      <c r="Q137" s="6">
        <v>-9.8206430000000005</v>
      </c>
      <c r="R137" s="6">
        <v>9.8206430000000005</v>
      </c>
      <c r="S137">
        <v>13</v>
      </c>
      <c r="T137" t="s">
        <v>191</v>
      </c>
      <c r="U137">
        <v>69</v>
      </c>
      <c r="V137" t="s">
        <v>192</v>
      </c>
      <c r="W137" s="1" t="s">
        <v>205</v>
      </c>
      <c r="X137" s="18">
        <v>0.59989999999999999</v>
      </c>
      <c r="Y137" s="18">
        <v>0.59989999999999999</v>
      </c>
      <c r="Z137" t="s">
        <v>194</v>
      </c>
      <c r="AA137">
        <v>193830</v>
      </c>
      <c r="AB137">
        <v>31131869</v>
      </c>
      <c r="AC137">
        <v>0</v>
      </c>
      <c r="AD137">
        <v>6394368</v>
      </c>
      <c r="AG137">
        <v>20969340</v>
      </c>
      <c r="AJ137">
        <v>197576</v>
      </c>
      <c r="AK137" t="s">
        <v>195</v>
      </c>
      <c r="AL137" t="s">
        <v>216</v>
      </c>
      <c r="AN137" t="s">
        <v>197</v>
      </c>
      <c r="AO137">
        <v>0.57489999999999997</v>
      </c>
      <c r="AP137">
        <v>120.04309120000001</v>
      </c>
      <c r="AQ137" t="s">
        <v>39</v>
      </c>
      <c r="AR137" t="s">
        <v>198</v>
      </c>
      <c r="AS137" t="s">
        <v>199</v>
      </c>
      <c r="AT137" t="s">
        <v>200</v>
      </c>
    </row>
    <row r="138" spans="1:46" x14ac:dyDescent="0.3">
      <c r="A138">
        <v>3</v>
      </c>
      <c r="B138" s="5">
        <v>46302.378495370373</v>
      </c>
      <c r="C138" s="5">
        <v>46302.420127314814</v>
      </c>
      <c r="D138">
        <v>174671407</v>
      </c>
      <c r="E138">
        <v>2026</v>
      </c>
      <c r="F138">
        <v>10</v>
      </c>
      <c r="G138">
        <v>7</v>
      </c>
      <c r="H138" s="1" t="s">
        <v>184</v>
      </c>
      <c r="I138" t="s">
        <v>185</v>
      </c>
      <c r="J138" t="s">
        <v>186</v>
      </c>
      <c r="K138" t="s">
        <v>187</v>
      </c>
      <c r="L138" t="s">
        <v>188</v>
      </c>
      <c r="M138" t="s">
        <v>189</v>
      </c>
      <c r="N138" t="s">
        <v>190</v>
      </c>
      <c r="O138" s="6">
        <v>889056.14383099996</v>
      </c>
      <c r="P138" s="6">
        <v>-5.8914037357</v>
      </c>
      <c r="Q138" s="6">
        <v>-9.8206430000000005</v>
      </c>
      <c r="R138" s="6">
        <v>9.8206430000000005</v>
      </c>
      <c r="S138">
        <v>13</v>
      </c>
      <c r="T138" t="s">
        <v>191</v>
      </c>
      <c r="U138">
        <v>69</v>
      </c>
      <c r="V138" t="s">
        <v>192</v>
      </c>
      <c r="W138" s="1" t="s">
        <v>205</v>
      </c>
      <c r="X138" s="18">
        <v>0.59989999999999999</v>
      </c>
      <c r="Y138" s="18">
        <v>0.59989999999999999</v>
      </c>
      <c r="Z138" t="s">
        <v>194</v>
      </c>
      <c r="AA138">
        <v>193830</v>
      </c>
      <c r="AB138">
        <v>31131870</v>
      </c>
      <c r="AC138">
        <v>0</v>
      </c>
      <c r="AD138">
        <v>6394368</v>
      </c>
      <c r="AG138">
        <v>20969340</v>
      </c>
      <c r="AJ138">
        <v>197576</v>
      </c>
      <c r="AK138" t="s">
        <v>195</v>
      </c>
      <c r="AL138" t="s">
        <v>216</v>
      </c>
      <c r="AN138" t="s">
        <v>197</v>
      </c>
      <c r="AO138">
        <v>0.57489999999999997</v>
      </c>
      <c r="AP138">
        <v>120.04309120000001</v>
      </c>
      <c r="AQ138" t="s">
        <v>39</v>
      </c>
      <c r="AR138" t="s">
        <v>198</v>
      </c>
      <c r="AS138" t="s">
        <v>199</v>
      </c>
      <c r="AT138" t="s">
        <v>200</v>
      </c>
    </row>
    <row r="139" spans="1:46" x14ac:dyDescent="0.3">
      <c r="A139">
        <v>3</v>
      </c>
      <c r="B139" s="5">
        <v>46302.378530092596</v>
      </c>
      <c r="C139" s="5">
        <v>46302.420185185183</v>
      </c>
      <c r="D139">
        <v>174671442</v>
      </c>
      <c r="E139">
        <v>2026</v>
      </c>
      <c r="F139">
        <v>10</v>
      </c>
      <c r="G139">
        <v>7</v>
      </c>
      <c r="H139" s="1" t="s">
        <v>184</v>
      </c>
      <c r="I139" t="s">
        <v>185</v>
      </c>
      <c r="J139" t="s">
        <v>186</v>
      </c>
      <c r="K139" t="s">
        <v>187</v>
      </c>
      <c r="L139" t="s">
        <v>188</v>
      </c>
      <c r="M139" t="s">
        <v>189</v>
      </c>
      <c r="N139" t="s">
        <v>190</v>
      </c>
      <c r="O139" s="6">
        <v>889046.32318800001</v>
      </c>
      <c r="P139" s="6">
        <v>-5.8914037357</v>
      </c>
      <c r="Q139" s="6">
        <v>-9.8206430000000005</v>
      </c>
      <c r="R139" s="6">
        <v>9.8206430000000005</v>
      </c>
      <c r="S139">
        <v>13</v>
      </c>
      <c r="T139" t="s">
        <v>191</v>
      </c>
      <c r="U139">
        <v>69</v>
      </c>
      <c r="V139" t="s">
        <v>192</v>
      </c>
      <c r="W139" s="1" t="s">
        <v>205</v>
      </c>
      <c r="X139" s="18">
        <v>0.59989999999999999</v>
      </c>
      <c r="Y139" s="18">
        <v>0.59989999999999999</v>
      </c>
      <c r="Z139" t="s">
        <v>194</v>
      </c>
      <c r="AA139">
        <v>193830</v>
      </c>
      <c r="AB139">
        <v>31131873</v>
      </c>
      <c r="AC139">
        <v>0</v>
      </c>
      <c r="AD139">
        <v>6394368</v>
      </c>
      <c r="AG139">
        <v>20969340</v>
      </c>
      <c r="AJ139">
        <v>197576</v>
      </c>
      <c r="AK139" t="s">
        <v>195</v>
      </c>
      <c r="AL139" t="s">
        <v>216</v>
      </c>
      <c r="AN139" t="s">
        <v>197</v>
      </c>
      <c r="AO139">
        <v>0.57489999999999997</v>
      </c>
      <c r="AP139">
        <v>120.04309120000001</v>
      </c>
      <c r="AQ139" t="s">
        <v>39</v>
      </c>
      <c r="AR139" t="s">
        <v>198</v>
      </c>
      <c r="AS139" t="s">
        <v>199</v>
      </c>
      <c r="AT139" t="s">
        <v>200</v>
      </c>
    </row>
    <row r="140" spans="1:46" x14ac:dyDescent="0.3">
      <c r="A140">
        <v>3</v>
      </c>
      <c r="B140" s="5">
        <v>46302.378576388888</v>
      </c>
      <c r="C140" s="5">
        <v>46302.420219907406</v>
      </c>
      <c r="D140">
        <v>174671462</v>
      </c>
      <c r="E140">
        <v>2026</v>
      </c>
      <c r="F140">
        <v>10</v>
      </c>
      <c r="G140">
        <v>7</v>
      </c>
      <c r="H140" s="1" t="s">
        <v>184</v>
      </c>
      <c r="I140" t="s">
        <v>185</v>
      </c>
      <c r="J140" t="s">
        <v>186</v>
      </c>
      <c r="K140" t="s">
        <v>187</v>
      </c>
      <c r="L140" t="s">
        <v>188</v>
      </c>
      <c r="M140" t="s">
        <v>189</v>
      </c>
      <c r="N140" t="s">
        <v>190</v>
      </c>
      <c r="O140" s="6">
        <v>889036.50254500005</v>
      </c>
      <c r="P140" s="6">
        <v>-5.8914037357</v>
      </c>
      <c r="Q140" s="6">
        <v>-9.8206430000000005</v>
      </c>
      <c r="R140" s="6">
        <v>9.8206430000000005</v>
      </c>
      <c r="S140">
        <v>13</v>
      </c>
      <c r="T140" t="s">
        <v>191</v>
      </c>
      <c r="U140">
        <v>69</v>
      </c>
      <c r="V140" t="s">
        <v>192</v>
      </c>
      <c r="W140" s="1" t="s">
        <v>205</v>
      </c>
      <c r="X140" s="18">
        <v>0.59989999999999999</v>
      </c>
      <c r="Y140" s="18">
        <v>0.59989999999999999</v>
      </c>
      <c r="Z140" t="s">
        <v>194</v>
      </c>
      <c r="AA140">
        <v>193830</v>
      </c>
      <c r="AB140">
        <v>31131875</v>
      </c>
      <c r="AC140">
        <v>0</v>
      </c>
      <c r="AD140">
        <v>6394368</v>
      </c>
      <c r="AG140">
        <v>20969340</v>
      </c>
      <c r="AJ140">
        <v>197576</v>
      </c>
      <c r="AK140" t="s">
        <v>195</v>
      </c>
      <c r="AL140" t="s">
        <v>216</v>
      </c>
      <c r="AN140" t="s">
        <v>197</v>
      </c>
      <c r="AO140">
        <v>0.57489999999999997</v>
      </c>
      <c r="AP140">
        <v>120.04309120000001</v>
      </c>
      <c r="AQ140" t="s">
        <v>39</v>
      </c>
      <c r="AR140" t="s">
        <v>198</v>
      </c>
      <c r="AS140" t="s">
        <v>199</v>
      </c>
      <c r="AT140" t="s">
        <v>200</v>
      </c>
    </row>
    <row r="141" spans="1:46" x14ac:dyDescent="0.3">
      <c r="A141">
        <v>3</v>
      </c>
      <c r="B141" s="5">
        <v>46302.378622685188</v>
      </c>
      <c r="C141" s="5">
        <v>46302.420266203706</v>
      </c>
      <c r="D141">
        <v>174671477</v>
      </c>
      <c r="E141">
        <v>2026</v>
      </c>
      <c r="F141">
        <v>10</v>
      </c>
      <c r="G141">
        <v>7</v>
      </c>
      <c r="H141" s="1" t="s">
        <v>184</v>
      </c>
      <c r="I141" t="s">
        <v>185</v>
      </c>
      <c r="J141" t="s">
        <v>186</v>
      </c>
      <c r="K141" t="s">
        <v>187</v>
      </c>
      <c r="L141" t="s">
        <v>188</v>
      </c>
      <c r="M141" t="s">
        <v>189</v>
      </c>
      <c r="N141" t="s">
        <v>190</v>
      </c>
      <c r="O141" s="6">
        <v>889026.68190199998</v>
      </c>
      <c r="P141" s="6">
        <v>-5.8914037357</v>
      </c>
      <c r="Q141" s="6">
        <v>-9.8206430000000005</v>
      </c>
      <c r="R141" s="6">
        <v>9.8206430000000005</v>
      </c>
      <c r="S141">
        <v>13</v>
      </c>
      <c r="T141" t="s">
        <v>191</v>
      </c>
      <c r="U141">
        <v>69</v>
      </c>
      <c r="V141" t="s">
        <v>192</v>
      </c>
      <c r="W141" s="1" t="s">
        <v>205</v>
      </c>
      <c r="X141" s="18">
        <v>0.59989999999999999</v>
      </c>
      <c r="Y141" s="18">
        <v>0.59989999999999999</v>
      </c>
      <c r="Z141" t="s">
        <v>194</v>
      </c>
      <c r="AA141">
        <v>193830</v>
      </c>
      <c r="AB141">
        <v>31131876</v>
      </c>
      <c r="AC141">
        <v>0</v>
      </c>
      <c r="AD141">
        <v>6394368</v>
      </c>
      <c r="AG141">
        <v>20969340</v>
      </c>
      <c r="AJ141">
        <v>197576</v>
      </c>
      <c r="AK141" t="s">
        <v>195</v>
      </c>
      <c r="AL141" t="s">
        <v>216</v>
      </c>
      <c r="AN141" t="s">
        <v>197</v>
      </c>
      <c r="AO141">
        <v>0.57489999999999997</v>
      </c>
      <c r="AP141">
        <v>120.04309120000001</v>
      </c>
      <c r="AQ141" t="s">
        <v>39</v>
      </c>
      <c r="AR141" t="s">
        <v>198</v>
      </c>
      <c r="AS141" t="s">
        <v>199</v>
      </c>
      <c r="AT141" t="s">
        <v>200</v>
      </c>
    </row>
    <row r="142" spans="1:46" x14ac:dyDescent="0.3">
      <c r="A142">
        <v>3</v>
      </c>
      <c r="B142" s="5">
        <v>46302.378668981481</v>
      </c>
      <c r="C142" s="5">
        <v>46302.420312499999</v>
      </c>
      <c r="D142">
        <v>174671517</v>
      </c>
      <c r="E142">
        <v>2026</v>
      </c>
      <c r="F142">
        <v>10</v>
      </c>
      <c r="G142">
        <v>7</v>
      </c>
      <c r="H142" s="1" t="s">
        <v>184</v>
      </c>
      <c r="I142" t="s">
        <v>185</v>
      </c>
      <c r="J142" t="s">
        <v>186</v>
      </c>
      <c r="K142" t="s">
        <v>187</v>
      </c>
      <c r="L142" t="s">
        <v>188</v>
      </c>
      <c r="M142" t="s">
        <v>189</v>
      </c>
      <c r="N142" t="s">
        <v>190</v>
      </c>
      <c r="O142" s="6">
        <v>889016.86125900003</v>
      </c>
      <c r="P142" s="6">
        <v>-5.8914037357</v>
      </c>
      <c r="Q142" s="6">
        <v>-9.8206430000000005</v>
      </c>
      <c r="R142" s="6">
        <v>9.8206430000000005</v>
      </c>
      <c r="S142">
        <v>13</v>
      </c>
      <c r="T142" t="s">
        <v>191</v>
      </c>
      <c r="U142">
        <v>69</v>
      </c>
      <c r="V142" t="s">
        <v>192</v>
      </c>
      <c r="W142" s="1" t="s">
        <v>205</v>
      </c>
      <c r="X142" s="18">
        <v>0.59989999999999999</v>
      </c>
      <c r="Y142" s="18">
        <v>0.59989999999999999</v>
      </c>
      <c r="Z142" t="s">
        <v>194</v>
      </c>
      <c r="AA142">
        <v>193830</v>
      </c>
      <c r="AB142">
        <v>31131881</v>
      </c>
      <c r="AC142">
        <v>0</v>
      </c>
      <c r="AD142">
        <v>6394368</v>
      </c>
      <c r="AG142">
        <v>20969340</v>
      </c>
      <c r="AJ142">
        <v>197576</v>
      </c>
      <c r="AK142" t="s">
        <v>195</v>
      </c>
      <c r="AL142" t="s">
        <v>216</v>
      </c>
      <c r="AN142" t="s">
        <v>197</v>
      </c>
      <c r="AO142">
        <v>0.57489999999999997</v>
      </c>
      <c r="AP142">
        <v>120.04309120000001</v>
      </c>
      <c r="AQ142" t="s">
        <v>39</v>
      </c>
      <c r="AR142" t="s">
        <v>198</v>
      </c>
      <c r="AS142" t="s">
        <v>199</v>
      </c>
      <c r="AT142" t="s">
        <v>200</v>
      </c>
    </row>
    <row r="143" spans="1:46" x14ac:dyDescent="0.3">
      <c r="A143">
        <v>3</v>
      </c>
      <c r="B143" s="5">
        <v>46302.378703703704</v>
      </c>
      <c r="C143" s="5">
        <v>46302.420347222222</v>
      </c>
      <c r="D143">
        <v>174671530</v>
      </c>
      <c r="E143">
        <v>2026</v>
      </c>
      <c r="F143">
        <v>10</v>
      </c>
      <c r="G143">
        <v>7</v>
      </c>
      <c r="H143" s="1" t="s">
        <v>184</v>
      </c>
      <c r="I143" t="s">
        <v>185</v>
      </c>
      <c r="J143" t="s">
        <v>186</v>
      </c>
      <c r="K143" t="s">
        <v>187</v>
      </c>
      <c r="L143" t="s">
        <v>188</v>
      </c>
      <c r="M143" t="s">
        <v>189</v>
      </c>
      <c r="N143" t="s">
        <v>190</v>
      </c>
      <c r="O143" s="6">
        <v>889007.04061599995</v>
      </c>
      <c r="P143" s="6">
        <v>-5.8914037357</v>
      </c>
      <c r="Q143" s="6">
        <v>-9.8206430000000005</v>
      </c>
      <c r="R143" s="6">
        <v>9.8206430000000005</v>
      </c>
      <c r="S143">
        <v>13</v>
      </c>
      <c r="T143" t="s">
        <v>191</v>
      </c>
      <c r="U143">
        <v>69</v>
      </c>
      <c r="V143" t="s">
        <v>192</v>
      </c>
      <c r="W143" s="1" t="s">
        <v>205</v>
      </c>
      <c r="X143" s="18">
        <v>0.59989999999999999</v>
      </c>
      <c r="Y143" s="18">
        <v>0.59989999999999999</v>
      </c>
      <c r="Z143" t="s">
        <v>194</v>
      </c>
      <c r="AA143">
        <v>193830</v>
      </c>
      <c r="AB143">
        <v>31131882</v>
      </c>
      <c r="AC143">
        <v>0</v>
      </c>
      <c r="AD143">
        <v>6394368</v>
      </c>
      <c r="AG143">
        <v>20969340</v>
      </c>
      <c r="AJ143">
        <v>197576</v>
      </c>
      <c r="AK143" t="s">
        <v>195</v>
      </c>
      <c r="AL143" t="s">
        <v>216</v>
      </c>
      <c r="AN143" t="s">
        <v>197</v>
      </c>
      <c r="AO143">
        <v>0.57489999999999997</v>
      </c>
      <c r="AP143">
        <v>120.04309120000001</v>
      </c>
      <c r="AQ143" t="s">
        <v>39</v>
      </c>
      <c r="AR143" t="s">
        <v>198</v>
      </c>
      <c r="AS143" t="s">
        <v>199</v>
      </c>
      <c r="AT143" t="s">
        <v>200</v>
      </c>
    </row>
    <row r="144" spans="1:46" x14ac:dyDescent="0.3">
      <c r="A144">
        <v>3</v>
      </c>
      <c r="B144" s="5">
        <v>46302.379374999997</v>
      </c>
      <c r="C144" s="5">
        <v>46302.421030092592</v>
      </c>
      <c r="D144">
        <v>174671648</v>
      </c>
      <c r="E144">
        <v>2026</v>
      </c>
      <c r="F144">
        <v>10</v>
      </c>
      <c r="G144">
        <v>7</v>
      </c>
      <c r="H144" s="1" t="s">
        <v>184</v>
      </c>
      <c r="I144" t="s">
        <v>185</v>
      </c>
      <c r="J144" t="s">
        <v>186</v>
      </c>
      <c r="K144" t="s">
        <v>187</v>
      </c>
      <c r="L144" t="s">
        <v>188</v>
      </c>
      <c r="M144" t="s">
        <v>189</v>
      </c>
      <c r="N144" t="s">
        <v>190</v>
      </c>
      <c r="O144" s="6">
        <v>888997.219973</v>
      </c>
      <c r="P144" s="6">
        <v>-5.8914037357</v>
      </c>
      <c r="Q144" s="6">
        <v>-9.8206430000000005</v>
      </c>
      <c r="R144" s="6">
        <v>9.8206430000000005</v>
      </c>
      <c r="S144">
        <v>13</v>
      </c>
      <c r="T144" t="s">
        <v>191</v>
      </c>
      <c r="U144">
        <v>69</v>
      </c>
      <c r="V144" t="s">
        <v>192</v>
      </c>
      <c r="W144" s="1" t="s">
        <v>205</v>
      </c>
      <c r="X144" s="18">
        <v>0.59989999999999999</v>
      </c>
      <c r="Y144" s="18">
        <v>0.59989999999999999</v>
      </c>
      <c r="Z144" t="s">
        <v>194</v>
      </c>
      <c r="AA144">
        <v>193830</v>
      </c>
      <c r="AB144">
        <v>31131897</v>
      </c>
      <c r="AC144">
        <v>0</v>
      </c>
      <c r="AD144">
        <v>6394368</v>
      </c>
      <c r="AG144">
        <v>20969340</v>
      </c>
      <c r="AJ144">
        <v>197576</v>
      </c>
      <c r="AK144" t="s">
        <v>195</v>
      </c>
      <c r="AL144" t="s">
        <v>216</v>
      </c>
      <c r="AN144" t="s">
        <v>197</v>
      </c>
      <c r="AO144">
        <v>0.57489999999999997</v>
      </c>
      <c r="AP144">
        <v>120.04309120000001</v>
      </c>
      <c r="AQ144" t="s">
        <v>39</v>
      </c>
      <c r="AR144" t="s">
        <v>198</v>
      </c>
      <c r="AS144" t="s">
        <v>199</v>
      </c>
      <c r="AT144" t="s">
        <v>200</v>
      </c>
    </row>
    <row r="145" spans="1:46" x14ac:dyDescent="0.3">
      <c r="A145">
        <v>3</v>
      </c>
      <c r="B145" s="5">
        <v>46302.379421296297</v>
      </c>
      <c r="C145" s="5">
        <v>46302.421064814815</v>
      </c>
      <c r="D145">
        <v>174671676</v>
      </c>
      <c r="E145">
        <v>2026</v>
      </c>
      <c r="F145">
        <v>10</v>
      </c>
      <c r="G145">
        <v>7</v>
      </c>
      <c r="H145" s="1" t="s">
        <v>184</v>
      </c>
      <c r="I145" t="s">
        <v>185</v>
      </c>
      <c r="J145" t="s">
        <v>186</v>
      </c>
      <c r="K145" t="s">
        <v>187</v>
      </c>
      <c r="L145" t="s">
        <v>188</v>
      </c>
      <c r="M145" t="s">
        <v>189</v>
      </c>
      <c r="N145" t="s">
        <v>190</v>
      </c>
      <c r="O145" s="6">
        <v>888987.39933000004</v>
      </c>
      <c r="P145" s="6">
        <v>-5.8914037357</v>
      </c>
      <c r="Q145" s="6">
        <v>-9.8206430000000005</v>
      </c>
      <c r="R145" s="6">
        <v>9.8206430000000005</v>
      </c>
      <c r="S145">
        <v>13</v>
      </c>
      <c r="T145" t="s">
        <v>191</v>
      </c>
      <c r="U145">
        <v>69</v>
      </c>
      <c r="V145" t="s">
        <v>192</v>
      </c>
      <c r="W145" s="1" t="s">
        <v>205</v>
      </c>
      <c r="X145" s="18">
        <v>0.59989999999999999</v>
      </c>
      <c r="Y145" s="18">
        <v>0.59989999999999999</v>
      </c>
      <c r="Z145" t="s">
        <v>194</v>
      </c>
      <c r="AA145">
        <v>193830</v>
      </c>
      <c r="AB145">
        <v>31131899</v>
      </c>
      <c r="AC145">
        <v>0</v>
      </c>
      <c r="AD145">
        <v>6394368</v>
      </c>
      <c r="AG145">
        <v>20969340</v>
      </c>
      <c r="AJ145">
        <v>197576</v>
      </c>
      <c r="AK145" t="s">
        <v>195</v>
      </c>
      <c r="AL145" t="s">
        <v>216</v>
      </c>
      <c r="AN145" t="s">
        <v>197</v>
      </c>
      <c r="AO145">
        <v>0.57489999999999997</v>
      </c>
      <c r="AP145">
        <v>120.04309120000001</v>
      </c>
      <c r="AQ145" t="s">
        <v>39</v>
      </c>
      <c r="AR145" t="s">
        <v>198</v>
      </c>
      <c r="AS145" t="s">
        <v>199</v>
      </c>
      <c r="AT145" t="s">
        <v>200</v>
      </c>
    </row>
    <row r="146" spans="1:46" x14ac:dyDescent="0.3">
      <c r="A146">
        <v>3</v>
      </c>
      <c r="B146" s="5">
        <v>46302.379467592589</v>
      </c>
      <c r="C146" s="5">
        <v>46302.421111111114</v>
      </c>
      <c r="D146">
        <v>174671689</v>
      </c>
      <c r="E146">
        <v>2026</v>
      </c>
      <c r="F146">
        <v>10</v>
      </c>
      <c r="G146">
        <v>7</v>
      </c>
      <c r="H146" s="1" t="s">
        <v>184</v>
      </c>
      <c r="I146" t="s">
        <v>185</v>
      </c>
      <c r="J146" t="s">
        <v>186</v>
      </c>
      <c r="K146" t="s">
        <v>187</v>
      </c>
      <c r="L146" t="s">
        <v>188</v>
      </c>
      <c r="M146" t="s">
        <v>189</v>
      </c>
      <c r="N146" t="s">
        <v>190</v>
      </c>
      <c r="O146" s="6">
        <v>888977.57868699997</v>
      </c>
      <c r="P146" s="6">
        <v>-5.8914037357</v>
      </c>
      <c r="Q146" s="6">
        <v>-9.8206430000000005</v>
      </c>
      <c r="R146" s="6">
        <v>9.8206430000000005</v>
      </c>
      <c r="S146">
        <v>13</v>
      </c>
      <c r="T146" t="s">
        <v>191</v>
      </c>
      <c r="U146">
        <v>69</v>
      </c>
      <c r="V146" t="s">
        <v>192</v>
      </c>
      <c r="W146" s="1" t="s">
        <v>205</v>
      </c>
      <c r="X146" s="18">
        <v>0.59989999999999999</v>
      </c>
      <c r="Y146" s="18">
        <v>0.59989999999999999</v>
      </c>
      <c r="Z146" t="s">
        <v>194</v>
      </c>
      <c r="AA146">
        <v>193830</v>
      </c>
      <c r="AB146">
        <v>31131900</v>
      </c>
      <c r="AC146">
        <v>0</v>
      </c>
      <c r="AD146">
        <v>6394368</v>
      </c>
      <c r="AG146">
        <v>20969340</v>
      </c>
      <c r="AJ146">
        <v>197576</v>
      </c>
      <c r="AK146" t="s">
        <v>195</v>
      </c>
      <c r="AL146" t="s">
        <v>216</v>
      </c>
      <c r="AN146" t="s">
        <v>197</v>
      </c>
      <c r="AO146">
        <v>0.57489999999999997</v>
      </c>
      <c r="AP146">
        <v>120.04309120000001</v>
      </c>
      <c r="AQ146" t="s">
        <v>39</v>
      </c>
      <c r="AR146" t="s">
        <v>198</v>
      </c>
      <c r="AS146" t="s">
        <v>199</v>
      </c>
      <c r="AT146" t="s">
        <v>200</v>
      </c>
    </row>
    <row r="147" spans="1:46" x14ac:dyDescent="0.3">
      <c r="A147">
        <v>3</v>
      </c>
      <c r="B147" s="5">
        <v>46302.379513888889</v>
      </c>
      <c r="C147" s="5">
        <v>46302.421157407407</v>
      </c>
      <c r="D147">
        <v>174671716</v>
      </c>
      <c r="E147">
        <v>2026</v>
      </c>
      <c r="F147">
        <v>10</v>
      </c>
      <c r="G147">
        <v>7</v>
      </c>
      <c r="H147" s="1" t="s">
        <v>184</v>
      </c>
      <c r="I147" t="s">
        <v>185</v>
      </c>
      <c r="J147" t="s">
        <v>186</v>
      </c>
      <c r="K147" t="s">
        <v>187</v>
      </c>
      <c r="L147" t="s">
        <v>188</v>
      </c>
      <c r="M147" t="s">
        <v>189</v>
      </c>
      <c r="N147" t="s">
        <v>190</v>
      </c>
      <c r="O147" s="6">
        <v>888967.75804400002</v>
      </c>
      <c r="P147" s="6">
        <v>-5.8914037357</v>
      </c>
      <c r="Q147" s="6">
        <v>-9.8206430000000005</v>
      </c>
      <c r="R147" s="6">
        <v>9.8206430000000005</v>
      </c>
      <c r="S147">
        <v>13</v>
      </c>
      <c r="T147" t="s">
        <v>191</v>
      </c>
      <c r="U147">
        <v>69</v>
      </c>
      <c r="V147" t="s">
        <v>192</v>
      </c>
      <c r="W147" s="1" t="s">
        <v>205</v>
      </c>
      <c r="X147" s="18">
        <v>0.59989999999999999</v>
      </c>
      <c r="Y147" s="18">
        <v>0.59989999999999999</v>
      </c>
      <c r="Z147" t="s">
        <v>194</v>
      </c>
      <c r="AA147">
        <v>193830</v>
      </c>
      <c r="AB147">
        <v>31131902</v>
      </c>
      <c r="AC147">
        <v>0</v>
      </c>
      <c r="AD147">
        <v>6394368</v>
      </c>
      <c r="AG147">
        <v>20969340</v>
      </c>
      <c r="AJ147">
        <v>197576</v>
      </c>
      <c r="AK147" t="s">
        <v>195</v>
      </c>
      <c r="AL147" t="s">
        <v>216</v>
      </c>
      <c r="AN147" t="s">
        <v>197</v>
      </c>
      <c r="AO147">
        <v>0.57489999999999997</v>
      </c>
      <c r="AP147">
        <v>120.04309120000001</v>
      </c>
      <c r="AQ147" t="s">
        <v>39</v>
      </c>
      <c r="AR147" t="s">
        <v>198</v>
      </c>
      <c r="AS147" t="s">
        <v>199</v>
      </c>
      <c r="AT147" t="s">
        <v>200</v>
      </c>
    </row>
    <row r="148" spans="1:46" x14ac:dyDescent="0.3">
      <c r="A148">
        <v>3</v>
      </c>
      <c r="B148" s="5">
        <v>46302.379560185182</v>
      </c>
      <c r="C148" s="5">
        <v>46302.421203703707</v>
      </c>
      <c r="D148">
        <v>174671729</v>
      </c>
      <c r="E148">
        <v>2026</v>
      </c>
      <c r="F148">
        <v>10</v>
      </c>
      <c r="G148">
        <v>7</v>
      </c>
      <c r="H148" s="1" t="s">
        <v>184</v>
      </c>
      <c r="I148" t="s">
        <v>185</v>
      </c>
      <c r="J148" t="s">
        <v>186</v>
      </c>
      <c r="K148" t="s">
        <v>187</v>
      </c>
      <c r="L148" t="s">
        <v>188</v>
      </c>
      <c r="M148" t="s">
        <v>189</v>
      </c>
      <c r="N148" t="s">
        <v>190</v>
      </c>
      <c r="O148" s="6">
        <v>888957.93740099994</v>
      </c>
      <c r="P148" s="6">
        <v>-5.8914037357</v>
      </c>
      <c r="Q148" s="6">
        <v>-9.8206430000000005</v>
      </c>
      <c r="R148" s="6">
        <v>9.8206430000000005</v>
      </c>
      <c r="S148">
        <v>13</v>
      </c>
      <c r="T148" t="s">
        <v>191</v>
      </c>
      <c r="U148">
        <v>69</v>
      </c>
      <c r="V148" t="s">
        <v>192</v>
      </c>
      <c r="W148" s="1" t="s">
        <v>205</v>
      </c>
      <c r="X148" s="18">
        <v>0.59989999999999999</v>
      </c>
      <c r="Y148" s="18">
        <v>0.59989999999999999</v>
      </c>
      <c r="Z148" t="s">
        <v>194</v>
      </c>
      <c r="AA148">
        <v>193830</v>
      </c>
      <c r="AB148">
        <v>31131903</v>
      </c>
      <c r="AC148">
        <v>0</v>
      </c>
      <c r="AD148">
        <v>6394368</v>
      </c>
      <c r="AG148">
        <v>20969340</v>
      </c>
      <c r="AJ148">
        <v>197576</v>
      </c>
      <c r="AK148" t="s">
        <v>195</v>
      </c>
      <c r="AL148" t="s">
        <v>216</v>
      </c>
      <c r="AN148" t="s">
        <v>197</v>
      </c>
      <c r="AO148">
        <v>0.57489999999999997</v>
      </c>
      <c r="AP148">
        <v>120.04309120000001</v>
      </c>
      <c r="AQ148" t="s">
        <v>39</v>
      </c>
      <c r="AR148" t="s">
        <v>198</v>
      </c>
      <c r="AS148" t="s">
        <v>199</v>
      </c>
      <c r="AT148" t="s">
        <v>200</v>
      </c>
    </row>
    <row r="149" spans="1:46" x14ac:dyDescent="0.3">
      <c r="A149">
        <v>3</v>
      </c>
      <c r="B149" s="5">
        <v>46302.379629629628</v>
      </c>
      <c r="C149" s="5">
        <v>46302.421261574076</v>
      </c>
      <c r="D149">
        <v>174671744</v>
      </c>
      <c r="E149">
        <v>2026</v>
      </c>
      <c r="F149">
        <v>10</v>
      </c>
      <c r="G149">
        <v>7</v>
      </c>
      <c r="H149" s="1" t="s">
        <v>184</v>
      </c>
      <c r="I149" t="s">
        <v>185</v>
      </c>
      <c r="J149" t="s">
        <v>186</v>
      </c>
      <c r="K149" t="s">
        <v>187</v>
      </c>
      <c r="L149" t="s">
        <v>188</v>
      </c>
      <c r="M149" t="s">
        <v>189</v>
      </c>
      <c r="N149" t="s">
        <v>190</v>
      </c>
      <c r="O149" s="6">
        <v>888948.11675799999</v>
      </c>
      <c r="P149" s="6">
        <v>-5.8914037357</v>
      </c>
      <c r="Q149" s="6">
        <v>-9.8206430000000005</v>
      </c>
      <c r="R149" s="6">
        <v>9.8206430000000005</v>
      </c>
      <c r="S149">
        <v>13</v>
      </c>
      <c r="T149" t="s">
        <v>191</v>
      </c>
      <c r="U149">
        <v>69</v>
      </c>
      <c r="V149" t="s">
        <v>192</v>
      </c>
      <c r="W149" s="1" t="s">
        <v>205</v>
      </c>
      <c r="X149" s="18">
        <v>0.59989999999999999</v>
      </c>
      <c r="Y149" s="18">
        <v>0.59989999999999999</v>
      </c>
      <c r="Z149" t="s">
        <v>194</v>
      </c>
      <c r="AA149">
        <v>193830</v>
      </c>
      <c r="AB149">
        <v>31131905</v>
      </c>
      <c r="AC149">
        <v>0</v>
      </c>
      <c r="AD149">
        <v>6394368</v>
      </c>
      <c r="AG149">
        <v>20969340</v>
      </c>
      <c r="AJ149">
        <v>197576</v>
      </c>
      <c r="AK149" t="s">
        <v>195</v>
      </c>
      <c r="AL149" t="s">
        <v>216</v>
      </c>
      <c r="AN149" t="s">
        <v>197</v>
      </c>
      <c r="AO149">
        <v>0.57489999999999997</v>
      </c>
      <c r="AP149">
        <v>120.04309120000001</v>
      </c>
      <c r="AQ149" t="s">
        <v>39</v>
      </c>
      <c r="AR149" t="s">
        <v>198</v>
      </c>
      <c r="AS149" t="s">
        <v>199</v>
      </c>
      <c r="AT149" t="s">
        <v>200</v>
      </c>
    </row>
    <row r="150" spans="1:46" x14ac:dyDescent="0.3">
      <c r="A150">
        <v>3</v>
      </c>
      <c r="B150" s="5">
        <v>46302.379687499997</v>
      </c>
      <c r="C150" s="5">
        <v>46302.421331018515</v>
      </c>
      <c r="D150">
        <v>174671757</v>
      </c>
      <c r="E150">
        <v>2026</v>
      </c>
      <c r="F150">
        <v>10</v>
      </c>
      <c r="G150">
        <v>7</v>
      </c>
      <c r="H150" s="1" t="s">
        <v>184</v>
      </c>
      <c r="I150" t="s">
        <v>185</v>
      </c>
      <c r="J150" t="s">
        <v>186</v>
      </c>
      <c r="K150" t="s">
        <v>187</v>
      </c>
      <c r="L150" t="s">
        <v>188</v>
      </c>
      <c r="M150" t="s">
        <v>189</v>
      </c>
      <c r="N150" t="s">
        <v>190</v>
      </c>
      <c r="O150" s="6">
        <v>888938.29611500003</v>
      </c>
      <c r="P150" s="6">
        <v>-5.8914037357</v>
      </c>
      <c r="Q150" s="6">
        <v>-9.8206430000000005</v>
      </c>
      <c r="R150" s="6">
        <v>9.8206430000000005</v>
      </c>
      <c r="S150">
        <v>13</v>
      </c>
      <c r="T150" t="s">
        <v>191</v>
      </c>
      <c r="U150">
        <v>69</v>
      </c>
      <c r="V150" t="s">
        <v>192</v>
      </c>
      <c r="W150" s="1" t="s">
        <v>205</v>
      </c>
      <c r="X150" s="18">
        <v>0.59989999999999999</v>
      </c>
      <c r="Y150" s="18">
        <v>0.59989999999999999</v>
      </c>
      <c r="Z150" t="s">
        <v>194</v>
      </c>
      <c r="AA150">
        <v>193830</v>
      </c>
      <c r="AB150">
        <v>31131907</v>
      </c>
      <c r="AC150">
        <v>0</v>
      </c>
      <c r="AD150">
        <v>6394368</v>
      </c>
      <c r="AG150">
        <v>20969340</v>
      </c>
      <c r="AJ150">
        <v>197576</v>
      </c>
      <c r="AK150" t="s">
        <v>195</v>
      </c>
      <c r="AL150" t="s">
        <v>216</v>
      </c>
      <c r="AN150" t="s">
        <v>197</v>
      </c>
      <c r="AO150">
        <v>0.57489999999999997</v>
      </c>
      <c r="AP150">
        <v>120.04309120000001</v>
      </c>
      <c r="AQ150" t="s">
        <v>39</v>
      </c>
      <c r="AR150" t="s">
        <v>198</v>
      </c>
      <c r="AS150" t="s">
        <v>199</v>
      </c>
      <c r="AT150" t="s">
        <v>200</v>
      </c>
    </row>
    <row r="151" spans="1:46" x14ac:dyDescent="0.3">
      <c r="A151">
        <v>3</v>
      </c>
      <c r="B151" s="5">
        <v>46302.379733796297</v>
      </c>
      <c r="C151" s="5">
        <v>46302.421365740738</v>
      </c>
      <c r="D151">
        <v>174671804</v>
      </c>
      <c r="E151">
        <v>2026</v>
      </c>
      <c r="F151">
        <v>10</v>
      </c>
      <c r="G151">
        <v>7</v>
      </c>
      <c r="H151" s="1" t="s">
        <v>184</v>
      </c>
      <c r="I151" t="s">
        <v>185</v>
      </c>
      <c r="J151" t="s">
        <v>186</v>
      </c>
      <c r="K151" t="s">
        <v>187</v>
      </c>
      <c r="L151" t="s">
        <v>188</v>
      </c>
      <c r="M151" t="s">
        <v>189</v>
      </c>
      <c r="N151" t="s">
        <v>190</v>
      </c>
      <c r="O151" s="6">
        <v>888928.47547199996</v>
      </c>
      <c r="P151" s="6">
        <v>-5.8914037357</v>
      </c>
      <c r="Q151" s="6">
        <v>-9.8206430000000005</v>
      </c>
      <c r="R151" s="6">
        <v>9.8206430000000005</v>
      </c>
      <c r="S151">
        <v>13</v>
      </c>
      <c r="T151" t="s">
        <v>191</v>
      </c>
      <c r="U151">
        <v>69</v>
      </c>
      <c r="V151" t="s">
        <v>192</v>
      </c>
      <c r="W151" s="1" t="s">
        <v>205</v>
      </c>
      <c r="X151" s="18">
        <v>0.59989999999999999</v>
      </c>
      <c r="Y151" s="18">
        <v>0.59989999999999999</v>
      </c>
      <c r="Z151" t="s">
        <v>194</v>
      </c>
      <c r="AA151">
        <v>193830</v>
      </c>
      <c r="AB151">
        <v>31131911</v>
      </c>
      <c r="AC151">
        <v>0</v>
      </c>
      <c r="AD151">
        <v>6394368</v>
      </c>
      <c r="AG151">
        <v>20969340</v>
      </c>
      <c r="AJ151">
        <v>197576</v>
      </c>
      <c r="AK151" t="s">
        <v>195</v>
      </c>
      <c r="AL151" t="s">
        <v>216</v>
      </c>
      <c r="AN151" t="s">
        <v>197</v>
      </c>
      <c r="AO151">
        <v>0.57489999999999997</v>
      </c>
      <c r="AP151">
        <v>120.04309120000001</v>
      </c>
      <c r="AQ151" t="s">
        <v>39</v>
      </c>
      <c r="AR151" t="s">
        <v>198</v>
      </c>
      <c r="AS151" t="s">
        <v>199</v>
      </c>
      <c r="AT151" t="s">
        <v>200</v>
      </c>
    </row>
    <row r="152" spans="1:46" x14ac:dyDescent="0.3">
      <c r="A152">
        <v>3</v>
      </c>
      <c r="B152" s="5">
        <v>46302.379826388889</v>
      </c>
      <c r="C152" s="5">
        <v>46302.421469907407</v>
      </c>
      <c r="D152">
        <v>174671833</v>
      </c>
      <c r="E152">
        <v>2026</v>
      </c>
      <c r="F152">
        <v>10</v>
      </c>
      <c r="G152">
        <v>7</v>
      </c>
      <c r="H152" s="1" t="s">
        <v>184</v>
      </c>
      <c r="I152" t="s">
        <v>185</v>
      </c>
      <c r="J152" t="s">
        <v>186</v>
      </c>
      <c r="K152" t="s">
        <v>187</v>
      </c>
      <c r="L152" t="s">
        <v>188</v>
      </c>
      <c r="M152" t="s">
        <v>189</v>
      </c>
      <c r="N152" t="s">
        <v>190</v>
      </c>
      <c r="O152" s="6">
        <v>888918.65482900001</v>
      </c>
      <c r="P152" s="6">
        <v>-8.9212682740999991</v>
      </c>
      <c r="Q152" s="6">
        <v>-14.871259</v>
      </c>
      <c r="R152" s="6">
        <v>14.871259</v>
      </c>
      <c r="S152">
        <v>13</v>
      </c>
      <c r="T152" t="s">
        <v>191</v>
      </c>
      <c r="U152">
        <v>69</v>
      </c>
      <c r="V152" t="s">
        <v>192</v>
      </c>
      <c r="W152" s="1" t="s">
        <v>214</v>
      </c>
      <c r="X152" s="18">
        <v>0.59989999999999999</v>
      </c>
      <c r="Y152" s="18">
        <v>0.59989999999999999</v>
      </c>
      <c r="Z152" t="s">
        <v>194</v>
      </c>
      <c r="AA152">
        <v>193830</v>
      </c>
      <c r="AB152">
        <v>31131914</v>
      </c>
      <c r="AC152">
        <v>0</v>
      </c>
      <c r="AD152">
        <v>6394368</v>
      </c>
      <c r="AG152">
        <v>20916065</v>
      </c>
      <c r="AJ152">
        <v>195123</v>
      </c>
      <c r="AK152" t="s">
        <v>195</v>
      </c>
      <c r="AL152" t="s">
        <v>215</v>
      </c>
      <c r="AN152" t="s">
        <v>197</v>
      </c>
      <c r="AO152">
        <v>0.57489999999999997</v>
      </c>
      <c r="AP152">
        <v>121.00909015000001</v>
      </c>
      <c r="AQ152" t="s">
        <v>80</v>
      </c>
      <c r="AR152" t="s">
        <v>198</v>
      </c>
      <c r="AS152" t="s">
        <v>199</v>
      </c>
      <c r="AT152" t="s">
        <v>200</v>
      </c>
    </row>
    <row r="153" spans="1:46" x14ac:dyDescent="0.3">
      <c r="A153">
        <v>3</v>
      </c>
      <c r="B153" s="5">
        <v>46302.38175925926</v>
      </c>
      <c r="C153" s="5">
        <v>46302.423402777778</v>
      </c>
      <c r="D153">
        <v>174672199</v>
      </c>
      <c r="E153">
        <v>2026</v>
      </c>
      <c r="F153">
        <v>10</v>
      </c>
      <c r="G153">
        <v>7</v>
      </c>
      <c r="H153" s="1" t="s">
        <v>184</v>
      </c>
      <c r="I153" t="s">
        <v>185</v>
      </c>
      <c r="J153" t="s">
        <v>186</v>
      </c>
      <c r="K153" t="s">
        <v>187</v>
      </c>
      <c r="L153" t="s">
        <v>188</v>
      </c>
      <c r="M153" t="s">
        <v>189</v>
      </c>
      <c r="N153" t="s">
        <v>190</v>
      </c>
      <c r="O153" s="6">
        <v>888903.78356999997</v>
      </c>
      <c r="P153" s="6">
        <v>-4.4719893441999998</v>
      </c>
      <c r="Q153" s="6">
        <v>-7.4545579999999996</v>
      </c>
      <c r="R153" s="6">
        <v>7.4545579999999996</v>
      </c>
      <c r="S153">
        <v>13</v>
      </c>
      <c r="T153" t="s">
        <v>191</v>
      </c>
      <c r="U153">
        <v>69</v>
      </c>
      <c r="V153" t="s">
        <v>192</v>
      </c>
      <c r="W153" s="1" t="s">
        <v>201</v>
      </c>
      <c r="X153" s="18">
        <v>0.59989999999999999</v>
      </c>
      <c r="Y153" s="18">
        <v>0.59989999999999999</v>
      </c>
      <c r="Z153" t="s">
        <v>194</v>
      </c>
      <c r="AA153">
        <v>193830</v>
      </c>
      <c r="AB153">
        <v>31131989</v>
      </c>
      <c r="AC153">
        <v>0</v>
      </c>
      <c r="AD153">
        <v>6394368</v>
      </c>
      <c r="AG153">
        <v>20712950</v>
      </c>
      <c r="AJ153">
        <v>194436</v>
      </c>
      <c r="AK153" t="s">
        <v>195</v>
      </c>
      <c r="AL153" t="s">
        <v>202</v>
      </c>
      <c r="AN153" t="s">
        <v>197</v>
      </c>
      <c r="AO153">
        <v>0.57489999999999997</v>
      </c>
      <c r="AP153">
        <v>121.09409100000001</v>
      </c>
      <c r="AQ153" t="s">
        <v>56</v>
      </c>
      <c r="AR153" t="s">
        <v>198</v>
      </c>
      <c r="AS153" t="s">
        <v>199</v>
      </c>
      <c r="AT153" t="s">
        <v>200</v>
      </c>
    </row>
    <row r="154" spans="1:46" x14ac:dyDescent="0.3">
      <c r="A154">
        <v>3</v>
      </c>
      <c r="B154" s="5">
        <v>46302.382060185184</v>
      </c>
      <c r="C154" s="5">
        <v>46302.423703703702</v>
      </c>
      <c r="D154">
        <v>174672239</v>
      </c>
      <c r="E154">
        <v>2026</v>
      </c>
      <c r="F154">
        <v>10</v>
      </c>
      <c r="G154">
        <v>7</v>
      </c>
      <c r="H154" s="1" t="s">
        <v>184</v>
      </c>
      <c r="I154" t="s">
        <v>185</v>
      </c>
      <c r="J154" t="s">
        <v>186</v>
      </c>
      <c r="K154" t="s">
        <v>187</v>
      </c>
      <c r="L154" t="s">
        <v>188</v>
      </c>
      <c r="M154" t="s">
        <v>189</v>
      </c>
      <c r="N154" t="s">
        <v>190</v>
      </c>
      <c r="O154" s="6">
        <v>888896.329012</v>
      </c>
      <c r="P154" s="6">
        <v>-4.4872573990999998</v>
      </c>
      <c r="Q154" s="6">
        <v>-7.4800089999999999</v>
      </c>
      <c r="R154" s="6">
        <v>7.4800089999999999</v>
      </c>
      <c r="S154">
        <v>13</v>
      </c>
      <c r="T154" t="s">
        <v>191</v>
      </c>
      <c r="U154">
        <v>69</v>
      </c>
      <c r="V154" t="s">
        <v>192</v>
      </c>
      <c r="W154" s="1" t="s">
        <v>203</v>
      </c>
      <c r="X154" s="18">
        <v>0.59989999999999999</v>
      </c>
      <c r="Y154" s="18">
        <v>0.59989999999999999</v>
      </c>
      <c r="Z154" t="s">
        <v>194</v>
      </c>
      <c r="AA154">
        <v>193830</v>
      </c>
      <c r="AB154">
        <v>31131995</v>
      </c>
      <c r="AC154">
        <v>0</v>
      </c>
      <c r="AD154">
        <v>6394368</v>
      </c>
      <c r="AG154">
        <v>20871851</v>
      </c>
      <c r="AJ154">
        <v>192817</v>
      </c>
      <c r="AK154" t="s">
        <v>195</v>
      </c>
      <c r="AL154" t="s">
        <v>204</v>
      </c>
      <c r="AN154" t="s">
        <v>197</v>
      </c>
      <c r="AO154">
        <v>0.57489999999999997</v>
      </c>
      <c r="AP154">
        <v>121.080091</v>
      </c>
      <c r="AQ154" t="s">
        <v>54</v>
      </c>
      <c r="AR154" t="s">
        <v>198</v>
      </c>
      <c r="AS154" t="s">
        <v>199</v>
      </c>
      <c r="AT154" t="s">
        <v>200</v>
      </c>
    </row>
    <row r="155" spans="1:46" x14ac:dyDescent="0.3">
      <c r="A155">
        <v>3</v>
      </c>
      <c r="B155" s="5">
        <v>46302.382233796299</v>
      </c>
      <c r="C155" s="5">
        <v>46302.423877314817</v>
      </c>
      <c r="D155">
        <v>174672275</v>
      </c>
      <c r="E155">
        <v>2026</v>
      </c>
      <c r="F155">
        <v>10</v>
      </c>
      <c r="G155">
        <v>7</v>
      </c>
      <c r="H155" s="1" t="s">
        <v>184</v>
      </c>
      <c r="I155" t="s">
        <v>185</v>
      </c>
      <c r="J155" t="s">
        <v>186</v>
      </c>
      <c r="K155" t="s">
        <v>187</v>
      </c>
      <c r="L155" t="s">
        <v>188</v>
      </c>
      <c r="M155" t="s">
        <v>189</v>
      </c>
      <c r="N155" t="s">
        <v>190</v>
      </c>
      <c r="O155" s="6">
        <v>888888.84900299995</v>
      </c>
      <c r="P155" s="6">
        <v>-4.4719893441999998</v>
      </c>
      <c r="Q155" s="6">
        <v>-7.4545579999999996</v>
      </c>
      <c r="R155" s="6">
        <v>7.4545579999999996</v>
      </c>
      <c r="S155">
        <v>13</v>
      </c>
      <c r="T155" t="s">
        <v>191</v>
      </c>
      <c r="U155">
        <v>69</v>
      </c>
      <c r="V155" t="s">
        <v>192</v>
      </c>
      <c r="W155" s="1" t="s">
        <v>201</v>
      </c>
      <c r="X155" s="18">
        <v>0.59989999999999999</v>
      </c>
      <c r="Y155" s="18">
        <v>0.59989999999999999</v>
      </c>
      <c r="Z155" t="s">
        <v>194</v>
      </c>
      <c r="AA155">
        <v>193830</v>
      </c>
      <c r="AB155">
        <v>31131998</v>
      </c>
      <c r="AC155">
        <v>0</v>
      </c>
      <c r="AD155">
        <v>6394368</v>
      </c>
      <c r="AG155">
        <v>20712950</v>
      </c>
      <c r="AJ155">
        <v>194436</v>
      </c>
      <c r="AK155" t="s">
        <v>195</v>
      </c>
      <c r="AL155" t="s">
        <v>202</v>
      </c>
      <c r="AN155" t="s">
        <v>197</v>
      </c>
      <c r="AO155">
        <v>0.57489999999999997</v>
      </c>
      <c r="AP155">
        <v>121.09409100000001</v>
      </c>
      <c r="AQ155" t="s">
        <v>56</v>
      </c>
      <c r="AR155" t="s">
        <v>198</v>
      </c>
      <c r="AS155" t="s">
        <v>199</v>
      </c>
      <c r="AT155" t="s">
        <v>200</v>
      </c>
    </row>
    <row r="156" spans="1:46" x14ac:dyDescent="0.3">
      <c r="A156">
        <v>3</v>
      </c>
      <c r="B156" s="5">
        <v>46302.383263888885</v>
      </c>
      <c r="C156" s="5">
        <v>46302.424907407411</v>
      </c>
      <c r="D156">
        <v>174672476</v>
      </c>
      <c r="E156">
        <v>2026</v>
      </c>
      <c r="F156">
        <v>10</v>
      </c>
      <c r="G156">
        <v>7</v>
      </c>
      <c r="H156" s="1" t="s">
        <v>184</v>
      </c>
      <c r="I156" t="s">
        <v>185</v>
      </c>
      <c r="J156" t="s">
        <v>186</v>
      </c>
      <c r="K156" t="s">
        <v>187</v>
      </c>
      <c r="L156" t="s">
        <v>188</v>
      </c>
      <c r="M156" t="s">
        <v>189</v>
      </c>
      <c r="N156" t="s">
        <v>190</v>
      </c>
      <c r="O156" s="6">
        <v>888881.39444499998</v>
      </c>
      <c r="P156" s="6">
        <v>-4.4719893441999998</v>
      </c>
      <c r="Q156" s="6">
        <v>-7.4545579999999996</v>
      </c>
      <c r="R156" s="6">
        <v>7.4545579999999996</v>
      </c>
      <c r="S156">
        <v>13</v>
      </c>
      <c r="T156" t="s">
        <v>191</v>
      </c>
      <c r="U156">
        <v>69</v>
      </c>
      <c r="V156" t="s">
        <v>192</v>
      </c>
      <c r="W156" s="1" t="s">
        <v>201</v>
      </c>
      <c r="X156" s="18">
        <v>0.59989999999999999</v>
      </c>
      <c r="Y156" s="18">
        <v>0.59989999999999999</v>
      </c>
      <c r="Z156" t="s">
        <v>194</v>
      </c>
      <c r="AA156">
        <v>193830</v>
      </c>
      <c r="AB156">
        <v>31132021</v>
      </c>
      <c r="AC156">
        <v>0</v>
      </c>
      <c r="AD156">
        <v>6394368</v>
      </c>
      <c r="AG156">
        <v>20712950</v>
      </c>
      <c r="AJ156">
        <v>194436</v>
      </c>
      <c r="AK156" t="s">
        <v>195</v>
      </c>
      <c r="AL156" t="s">
        <v>202</v>
      </c>
      <c r="AN156" t="s">
        <v>197</v>
      </c>
      <c r="AO156">
        <v>0.57489999999999997</v>
      </c>
      <c r="AP156">
        <v>121.09409100000001</v>
      </c>
      <c r="AQ156" t="s">
        <v>56</v>
      </c>
      <c r="AR156" t="s">
        <v>198</v>
      </c>
      <c r="AS156" t="s">
        <v>199</v>
      </c>
      <c r="AT156" t="s">
        <v>200</v>
      </c>
    </row>
    <row r="157" spans="1:46" x14ac:dyDescent="0.3">
      <c r="A157">
        <v>3</v>
      </c>
      <c r="B157" s="5">
        <v>46302.383981481478</v>
      </c>
      <c r="C157" s="5">
        <v>46302.425625000003</v>
      </c>
      <c r="D157">
        <v>174672587</v>
      </c>
      <c r="E157">
        <v>2026</v>
      </c>
      <c r="F157">
        <v>10</v>
      </c>
      <c r="G157">
        <v>7</v>
      </c>
      <c r="H157" s="1" t="s">
        <v>184</v>
      </c>
      <c r="I157" t="s">
        <v>185</v>
      </c>
      <c r="J157" t="s">
        <v>186</v>
      </c>
      <c r="K157" t="s">
        <v>187</v>
      </c>
      <c r="L157" t="s">
        <v>188</v>
      </c>
      <c r="M157" t="s">
        <v>189</v>
      </c>
      <c r="N157" t="s">
        <v>190</v>
      </c>
      <c r="O157" s="6">
        <v>888873.93988700002</v>
      </c>
      <c r="P157" s="6">
        <v>-4.4872573990999998</v>
      </c>
      <c r="Q157" s="6">
        <v>-7.4800089999999999</v>
      </c>
      <c r="R157" s="6">
        <v>7.4800089999999999</v>
      </c>
      <c r="S157">
        <v>13</v>
      </c>
      <c r="T157" t="s">
        <v>191</v>
      </c>
      <c r="U157">
        <v>69</v>
      </c>
      <c r="V157" t="s">
        <v>192</v>
      </c>
      <c r="W157" s="1" t="s">
        <v>203</v>
      </c>
      <c r="X157" s="18">
        <v>0.59989999999999999</v>
      </c>
      <c r="Y157" s="18">
        <v>0.59989999999999999</v>
      </c>
      <c r="Z157" t="s">
        <v>194</v>
      </c>
      <c r="AA157">
        <v>193830</v>
      </c>
      <c r="AB157">
        <v>31132034</v>
      </c>
      <c r="AC157">
        <v>0</v>
      </c>
      <c r="AD157">
        <v>6394368</v>
      </c>
      <c r="AG157">
        <v>20871851</v>
      </c>
      <c r="AJ157">
        <v>192817</v>
      </c>
      <c r="AK157" t="s">
        <v>195</v>
      </c>
      <c r="AL157" t="s">
        <v>204</v>
      </c>
      <c r="AN157" t="s">
        <v>197</v>
      </c>
      <c r="AO157">
        <v>0.57489999999999997</v>
      </c>
      <c r="AP157">
        <v>121.080091</v>
      </c>
      <c r="AQ157" t="s">
        <v>54</v>
      </c>
      <c r="AR157" t="s">
        <v>198</v>
      </c>
      <c r="AS157" t="s">
        <v>199</v>
      </c>
      <c r="AT157" t="s">
        <v>200</v>
      </c>
    </row>
    <row r="158" spans="1:46" x14ac:dyDescent="0.3">
      <c r="A158">
        <v>3</v>
      </c>
      <c r="B158" s="5">
        <v>46302.38486111111</v>
      </c>
      <c r="C158" s="5">
        <v>46302.426516203705</v>
      </c>
      <c r="D158">
        <v>174672731</v>
      </c>
      <c r="E158">
        <v>2026</v>
      </c>
      <c r="F158">
        <v>10</v>
      </c>
      <c r="G158">
        <v>7</v>
      </c>
      <c r="H158" s="1" t="s">
        <v>184</v>
      </c>
      <c r="I158" t="s">
        <v>185</v>
      </c>
      <c r="J158" t="s">
        <v>186</v>
      </c>
      <c r="K158" t="s">
        <v>187</v>
      </c>
      <c r="L158" t="s">
        <v>188</v>
      </c>
      <c r="M158" t="s">
        <v>189</v>
      </c>
      <c r="N158" t="s">
        <v>190</v>
      </c>
      <c r="O158" s="6">
        <v>888866.45987799997</v>
      </c>
      <c r="P158" s="6">
        <v>-4.4872573990999998</v>
      </c>
      <c r="Q158" s="6">
        <v>-7.4800089999999999</v>
      </c>
      <c r="R158" s="6">
        <v>7.4800089999999999</v>
      </c>
      <c r="S158">
        <v>13</v>
      </c>
      <c r="T158" t="s">
        <v>191</v>
      </c>
      <c r="U158">
        <v>69</v>
      </c>
      <c r="V158" t="s">
        <v>192</v>
      </c>
      <c r="W158" s="1" t="s">
        <v>203</v>
      </c>
      <c r="X158" s="18">
        <v>0.59989999999999999</v>
      </c>
      <c r="Y158" s="18">
        <v>0.59989999999999999</v>
      </c>
      <c r="Z158" t="s">
        <v>194</v>
      </c>
      <c r="AA158">
        <v>193830</v>
      </c>
      <c r="AB158">
        <v>31132057</v>
      </c>
      <c r="AC158">
        <v>0</v>
      </c>
      <c r="AD158">
        <v>6394368</v>
      </c>
      <c r="AG158">
        <v>20871851</v>
      </c>
      <c r="AJ158">
        <v>192817</v>
      </c>
      <c r="AK158" t="s">
        <v>195</v>
      </c>
      <c r="AL158" t="s">
        <v>204</v>
      </c>
      <c r="AN158" t="s">
        <v>197</v>
      </c>
      <c r="AO158">
        <v>0.57489999999999997</v>
      </c>
      <c r="AP158">
        <v>121.080091</v>
      </c>
      <c r="AQ158" t="s">
        <v>54</v>
      </c>
      <c r="AR158" t="s">
        <v>198</v>
      </c>
      <c r="AS158" t="s">
        <v>199</v>
      </c>
      <c r="AT158" t="s">
        <v>200</v>
      </c>
    </row>
    <row r="159" spans="1:46" x14ac:dyDescent="0.3">
      <c r="A159">
        <v>3</v>
      </c>
      <c r="B159" s="5">
        <v>46302.385729166665</v>
      </c>
      <c r="C159" s="5">
        <v>46302.427384259259</v>
      </c>
      <c r="D159">
        <v>174672997</v>
      </c>
      <c r="E159">
        <v>2026</v>
      </c>
      <c r="F159">
        <v>10</v>
      </c>
      <c r="G159">
        <v>7</v>
      </c>
      <c r="H159" s="1" t="s">
        <v>184</v>
      </c>
      <c r="I159" t="s">
        <v>185</v>
      </c>
      <c r="J159" t="s">
        <v>186</v>
      </c>
      <c r="K159" t="s">
        <v>187</v>
      </c>
      <c r="L159" t="s">
        <v>188</v>
      </c>
      <c r="M159" t="s">
        <v>189</v>
      </c>
      <c r="N159" t="s">
        <v>190</v>
      </c>
      <c r="O159" s="6">
        <v>888858.97986900003</v>
      </c>
      <c r="P159" s="6">
        <v>-4.4872573990999998</v>
      </c>
      <c r="Q159" s="6">
        <v>-7.4800089999999999</v>
      </c>
      <c r="R159" s="6">
        <v>7.4800089999999999</v>
      </c>
      <c r="S159">
        <v>13</v>
      </c>
      <c r="T159" t="s">
        <v>191</v>
      </c>
      <c r="U159">
        <v>69</v>
      </c>
      <c r="V159" t="s">
        <v>192</v>
      </c>
      <c r="W159" s="1" t="s">
        <v>203</v>
      </c>
      <c r="X159" s="18">
        <v>0.59989999999999999</v>
      </c>
      <c r="Y159" s="18">
        <v>0.59989999999999999</v>
      </c>
      <c r="Z159" t="s">
        <v>194</v>
      </c>
      <c r="AA159">
        <v>193830</v>
      </c>
      <c r="AB159">
        <v>31132113</v>
      </c>
      <c r="AC159">
        <v>0</v>
      </c>
      <c r="AD159">
        <v>6394368</v>
      </c>
      <c r="AG159">
        <v>20871851</v>
      </c>
      <c r="AJ159">
        <v>192817</v>
      </c>
      <c r="AK159" t="s">
        <v>195</v>
      </c>
      <c r="AL159" t="s">
        <v>204</v>
      </c>
      <c r="AN159" t="s">
        <v>197</v>
      </c>
      <c r="AO159">
        <v>0.57489999999999997</v>
      </c>
      <c r="AP159">
        <v>121.080091</v>
      </c>
      <c r="AQ159" t="s">
        <v>54</v>
      </c>
      <c r="AR159" t="s">
        <v>198</v>
      </c>
      <c r="AS159" t="s">
        <v>199</v>
      </c>
      <c r="AT159" t="s">
        <v>200</v>
      </c>
    </row>
    <row r="160" spans="1:46" x14ac:dyDescent="0.3">
      <c r="A160">
        <v>3</v>
      </c>
      <c r="B160" s="5">
        <v>46302.386412037034</v>
      </c>
      <c r="C160" s="5">
        <v>46302.428067129629</v>
      </c>
      <c r="D160">
        <v>174673099</v>
      </c>
      <c r="E160">
        <v>2026</v>
      </c>
      <c r="F160">
        <v>10</v>
      </c>
      <c r="G160">
        <v>7</v>
      </c>
      <c r="H160" s="1" t="s">
        <v>184</v>
      </c>
      <c r="I160" t="s">
        <v>185</v>
      </c>
      <c r="J160" t="s">
        <v>186</v>
      </c>
      <c r="K160" t="s">
        <v>187</v>
      </c>
      <c r="L160" t="s">
        <v>188</v>
      </c>
      <c r="M160" t="s">
        <v>189</v>
      </c>
      <c r="N160" t="s">
        <v>190</v>
      </c>
      <c r="O160" s="6">
        <v>888851.49985999998</v>
      </c>
      <c r="P160" s="6">
        <v>-4.4872573990999998</v>
      </c>
      <c r="Q160" s="6">
        <v>-7.4800089999999999</v>
      </c>
      <c r="R160" s="6">
        <v>7.4800089999999999</v>
      </c>
      <c r="S160">
        <v>13</v>
      </c>
      <c r="T160" t="s">
        <v>191</v>
      </c>
      <c r="U160">
        <v>69</v>
      </c>
      <c r="V160" t="s">
        <v>192</v>
      </c>
      <c r="W160" s="1" t="s">
        <v>203</v>
      </c>
      <c r="X160" s="18">
        <v>0.59989999999999999</v>
      </c>
      <c r="Y160" s="18">
        <v>0.59989999999999999</v>
      </c>
      <c r="Z160" t="s">
        <v>194</v>
      </c>
      <c r="AA160">
        <v>193830</v>
      </c>
      <c r="AB160">
        <v>31132135</v>
      </c>
      <c r="AC160">
        <v>0</v>
      </c>
      <c r="AD160">
        <v>6394368</v>
      </c>
      <c r="AG160">
        <v>20871851</v>
      </c>
      <c r="AJ160">
        <v>192817</v>
      </c>
      <c r="AK160" t="s">
        <v>195</v>
      </c>
      <c r="AL160" t="s">
        <v>204</v>
      </c>
      <c r="AN160" t="s">
        <v>197</v>
      </c>
      <c r="AO160">
        <v>0.57489999999999997</v>
      </c>
      <c r="AP160">
        <v>121.080091</v>
      </c>
      <c r="AQ160" t="s">
        <v>54</v>
      </c>
      <c r="AR160" t="s">
        <v>198</v>
      </c>
      <c r="AS160" t="s">
        <v>199</v>
      </c>
      <c r="AT160" t="s">
        <v>200</v>
      </c>
    </row>
    <row r="161" spans="1:46" x14ac:dyDescent="0.3">
      <c r="A161">
        <v>3</v>
      </c>
      <c r="B161" s="5">
        <v>46302.386620370373</v>
      </c>
      <c r="C161" s="5">
        <v>46302.428263888891</v>
      </c>
      <c r="D161">
        <v>174673164</v>
      </c>
      <c r="E161">
        <v>2026</v>
      </c>
      <c r="F161">
        <v>10</v>
      </c>
      <c r="G161">
        <v>7</v>
      </c>
      <c r="H161" s="1" t="s">
        <v>184</v>
      </c>
      <c r="I161" t="s">
        <v>185</v>
      </c>
      <c r="J161" t="s">
        <v>186</v>
      </c>
      <c r="K161" t="s">
        <v>187</v>
      </c>
      <c r="L161" t="s">
        <v>188</v>
      </c>
      <c r="M161" t="s">
        <v>189</v>
      </c>
      <c r="N161" t="s">
        <v>190</v>
      </c>
      <c r="O161" s="6">
        <v>888844.01985100005</v>
      </c>
      <c r="P161" s="6">
        <v>-5.8914037357</v>
      </c>
      <c r="Q161" s="6">
        <v>-9.8206430000000005</v>
      </c>
      <c r="R161" s="6">
        <v>9.8206430000000005</v>
      </c>
      <c r="S161">
        <v>13</v>
      </c>
      <c r="T161" t="s">
        <v>191</v>
      </c>
      <c r="U161">
        <v>69</v>
      </c>
      <c r="V161" t="s">
        <v>192</v>
      </c>
      <c r="W161" s="1" t="s">
        <v>205</v>
      </c>
      <c r="X161" s="18">
        <v>0.59989999999999999</v>
      </c>
      <c r="Y161" s="18">
        <v>0.59989999999999999</v>
      </c>
      <c r="Z161" t="s">
        <v>194</v>
      </c>
      <c r="AA161">
        <v>193830</v>
      </c>
      <c r="AB161">
        <v>31132152</v>
      </c>
      <c r="AC161">
        <v>0</v>
      </c>
      <c r="AD161">
        <v>6394368</v>
      </c>
      <c r="AG161">
        <v>20969340</v>
      </c>
      <c r="AJ161">
        <v>197576</v>
      </c>
      <c r="AK161" t="s">
        <v>195</v>
      </c>
      <c r="AL161" t="s">
        <v>216</v>
      </c>
      <c r="AN161" t="s">
        <v>197</v>
      </c>
      <c r="AO161">
        <v>0.57489999999999997</v>
      </c>
      <c r="AP161">
        <v>120.04309120000001</v>
      </c>
      <c r="AQ161" t="s">
        <v>39</v>
      </c>
      <c r="AR161" t="s">
        <v>198</v>
      </c>
      <c r="AS161" t="s">
        <v>199</v>
      </c>
      <c r="AT161" t="s">
        <v>200</v>
      </c>
    </row>
    <row r="162" spans="1:46" x14ac:dyDescent="0.3">
      <c r="A162">
        <v>3</v>
      </c>
      <c r="B162" s="5">
        <v>46302.387962962966</v>
      </c>
      <c r="C162" s="5">
        <v>46302.429606481484</v>
      </c>
      <c r="D162">
        <v>174673610</v>
      </c>
      <c r="E162">
        <v>2026</v>
      </c>
      <c r="F162">
        <v>10</v>
      </c>
      <c r="G162">
        <v>7</v>
      </c>
      <c r="H162" s="1" t="s">
        <v>184</v>
      </c>
      <c r="I162" t="s">
        <v>185</v>
      </c>
      <c r="J162" t="s">
        <v>186</v>
      </c>
      <c r="K162" t="s">
        <v>187</v>
      </c>
      <c r="L162" t="s">
        <v>188</v>
      </c>
      <c r="M162" t="s">
        <v>189</v>
      </c>
      <c r="N162" t="s">
        <v>190</v>
      </c>
      <c r="O162" s="6">
        <v>888834.19920799998</v>
      </c>
      <c r="P162" s="6">
        <v>-4.4719893441999998</v>
      </c>
      <c r="Q162" s="6">
        <v>-7.4545579999999996</v>
      </c>
      <c r="R162" s="6">
        <v>7.4545579999999996</v>
      </c>
      <c r="S162">
        <v>13</v>
      </c>
      <c r="T162" t="s">
        <v>191</v>
      </c>
      <c r="U162">
        <v>69</v>
      </c>
      <c r="V162" t="s">
        <v>192</v>
      </c>
      <c r="W162" s="1" t="s">
        <v>201</v>
      </c>
      <c r="X162" s="18">
        <v>0.59989999999999999</v>
      </c>
      <c r="Y162" s="18">
        <v>0.59989999999999999</v>
      </c>
      <c r="Z162" t="s">
        <v>194</v>
      </c>
      <c r="AA162">
        <v>193830</v>
      </c>
      <c r="AB162">
        <v>31132268</v>
      </c>
      <c r="AC162">
        <v>0</v>
      </c>
      <c r="AD162">
        <v>6394368</v>
      </c>
      <c r="AG162">
        <v>20712950</v>
      </c>
      <c r="AJ162">
        <v>194436</v>
      </c>
      <c r="AK162" t="s">
        <v>195</v>
      </c>
      <c r="AL162" t="s">
        <v>202</v>
      </c>
      <c r="AN162" t="s">
        <v>197</v>
      </c>
      <c r="AO162">
        <v>0.57489999999999997</v>
      </c>
      <c r="AP162">
        <v>121.09409100000001</v>
      </c>
      <c r="AQ162" t="s">
        <v>56</v>
      </c>
      <c r="AR162" t="s">
        <v>198</v>
      </c>
      <c r="AS162" t="s">
        <v>199</v>
      </c>
      <c r="AT162" t="s">
        <v>200</v>
      </c>
    </row>
    <row r="163" spans="1:46" x14ac:dyDescent="0.3">
      <c r="A163">
        <v>3</v>
      </c>
      <c r="B163" s="5">
        <v>46302.388796296298</v>
      </c>
      <c r="C163" s="5">
        <v>46302.430439814816</v>
      </c>
      <c r="D163">
        <v>174673731</v>
      </c>
      <c r="E163">
        <v>2026</v>
      </c>
      <c r="F163">
        <v>10</v>
      </c>
      <c r="G163">
        <v>7</v>
      </c>
      <c r="H163" s="1" t="s">
        <v>184</v>
      </c>
      <c r="I163" t="s">
        <v>185</v>
      </c>
      <c r="J163" t="s">
        <v>186</v>
      </c>
      <c r="K163" t="s">
        <v>187</v>
      </c>
      <c r="L163" t="s">
        <v>188</v>
      </c>
      <c r="M163" t="s">
        <v>189</v>
      </c>
      <c r="N163" t="s">
        <v>190</v>
      </c>
      <c r="O163" s="6">
        <v>888826.74465000001</v>
      </c>
      <c r="P163" s="6">
        <v>-4.4719893441999998</v>
      </c>
      <c r="Q163" s="6">
        <v>-7.4545579999999996</v>
      </c>
      <c r="R163" s="6">
        <v>7.4545579999999996</v>
      </c>
      <c r="S163">
        <v>13</v>
      </c>
      <c r="T163" t="s">
        <v>191</v>
      </c>
      <c r="U163">
        <v>69</v>
      </c>
      <c r="V163" t="s">
        <v>192</v>
      </c>
      <c r="W163" s="1" t="s">
        <v>201</v>
      </c>
      <c r="X163" s="18">
        <v>0.59989999999999999</v>
      </c>
      <c r="Y163" s="18">
        <v>0.59989999999999999</v>
      </c>
      <c r="Z163" t="s">
        <v>194</v>
      </c>
      <c r="AA163">
        <v>193830</v>
      </c>
      <c r="AB163">
        <v>31132286</v>
      </c>
      <c r="AC163">
        <v>0</v>
      </c>
      <c r="AD163">
        <v>6394368</v>
      </c>
      <c r="AG163">
        <v>20712950</v>
      </c>
      <c r="AJ163">
        <v>194436</v>
      </c>
      <c r="AK163" t="s">
        <v>195</v>
      </c>
      <c r="AL163" t="s">
        <v>202</v>
      </c>
      <c r="AN163" t="s">
        <v>197</v>
      </c>
      <c r="AO163">
        <v>0.57489999999999997</v>
      </c>
      <c r="AP163">
        <v>121.09409100000001</v>
      </c>
      <c r="AQ163" t="s">
        <v>56</v>
      </c>
      <c r="AR163" t="s">
        <v>198</v>
      </c>
      <c r="AS163" t="s">
        <v>199</v>
      </c>
      <c r="AT163" t="s">
        <v>200</v>
      </c>
    </row>
    <row r="164" spans="1:46" x14ac:dyDescent="0.3">
      <c r="A164">
        <v>3</v>
      </c>
      <c r="B164" s="5">
        <v>46302.388842592591</v>
      </c>
      <c r="C164" s="5">
        <v>46302.430486111109</v>
      </c>
      <c r="D164">
        <v>174673760</v>
      </c>
      <c r="E164">
        <v>2026</v>
      </c>
      <c r="F164">
        <v>10</v>
      </c>
      <c r="G164">
        <v>7</v>
      </c>
      <c r="H164" s="1" t="s">
        <v>184</v>
      </c>
      <c r="I164" t="s">
        <v>185</v>
      </c>
      <c r="J164" t="s">
        <v>186</v>
      </c>
      <c r="K164" t="s">
        <v>187</v>
      </c>
      <c r="L164" t="s">
        <v>188</v>
      </c>
      <c r="M164" t="s">
        <v>189</v>
      </c>
      <c r="N164" t="s">
        <v>190</v>
      </c>
      <c r="O164" s="6">
        <v>888819.29009200004</v>
      </c>
      <c r="P164" s="6">
        <v>-5.8914037357</v>
      </c>
      <c r="Q164" s="6">
        <v>-9.8206430000000005</v>
      </c>
      <c r="R164" s="6">
        <v>9.8206430000000005</v>
      </c>
      <c r="S164">
        <v>13</v>
      </c>
      <c r="T164" t="s">
        <v>191</v>
      </c>
      <c r="U164">
        <v>69</v>
      </c>
      <c r="V164" t="s">
        <v>192</v>
      </c>
      <c r="W164" s="1" t="s">
        <v>205</v>
      </c>
      <c r="X164" s="18">
        <v>0.59989999999999999</v>
      </c>
      <c r="Y164" s="18">
        <v>0.59989999999999999</v>
      </c>
      <c r="Z164" t="s">
        <v>194</v>
      </c>
      <c r="AA164">
        <v>193830</v>
      </c>
      <c r="AB164">
        <v>31132288</v>
      </c>
      <c r="AC164">
        <v>0</v>
      </c>
      <c r="AD164">
        <v>6394368</v>
      </c>
      <c r="AG164">
        <v>20969340</v>
      </c>
      <c r="AJ164">
        <v>197576</v>
      </c>
      <c r="AK164" t="s">
        <v>195</v>
      </c>
      <c r="AL164" t="s">
        <v>216</v>
      </c>
      <c r="AN164" t="s">
        <v>197</v>
      </c>
      <c r="AO164">
        <v>0.57489999999999997</v>
      </c>
      <c r="AP164">
        <v>120.04309120000001</v>
      </c>
      <c r="AQ164" t="s">
        <v>39</v>
      </c>
      <c r="AR164" t="s">
        <v>198</v>
      </c>
      <c r="AS164" t="s">
        <v>199</v>
      </c>
      <c r="AT164" t="s">
        <v>200</v>
      </c>
    </row>
    <row r="165" spans="1:46" x14ac:dyDescent="0.3">
      <c r="A165">
        <v>3</v>
      </c>
      <c r="B165" s="5">
        <v>46302.389710648145</v>
      </c>
      <c r="C165" s="5">
        <v>46302.431354166663</v>
      </c>
      <c r="D165">
        <v>174673965</v>
      </c>
      <c r="E165">
        <v>2026</v>
      </c>
      <c r="F165">
        <v>10</v>
      </c>
      <c r="G165">
        <v>7</v>
      </c>
      <c r="H165" s="1" t="s">
        <v>184</v>
      </c>
      <c r="I165" t="s">
        <v>185</v>
      </c>
      <c r="J165" t="s">
        <v>186</v>
      </c>
      <c r="K165" t="s">
        <v>187</v>
      </c>
      <c r="L165" t="s">
        <v>188</v>
      </c>
      <c r="M165" t="s">
        <v>189</v>
      </c>
      <c r="N165" t="s">
        <v>190</v>
      </c>
      <c r="O165" s="6">
        <v>888809.46944899997</v>
      </c>
      <c r="P165" s="6">
        <v>-5.8914037357</v>
      </c>
      <c r="Q165" s="6">
        <v>-9.8206430000000005</v>
      </c>
      <c r="R165" s="6">
        <v>9.8206430000000005</v>
      </c>
      <c r="S165">
        <v>13</v>
      </c>
      <c r="T165" t="s">
        <v>191</v>
      </c>
      <c r="U165">
        <v>69</v>
      </c>
      <c r="V165" t="s">
        <v>192</v>
      </c>
      <c r="W165" s="1" t="s">
        <v>205</v>
      </c>
      <c r="X165" s="18">
        <v>0.59989999999999999</v>
      </c>
      <c r="Y165" s="18">
        <v>0.59989999999999999</v>
      </c>
      <c r="Z165" t="s">
        <v>194</v>
      </c>
      <c r="AA165">
        <v>193830</v>
      </c>
      <c r="AB165">
        <v>31132323</v>
      </c>
      <c r="AC165">
        <v>0</v>
      </c>
      <c r="AD165">
        <v>6394368</v>
      </c>
      <c r="AG165">
        <v>20969340</v>
      </c>
      <c r="AJ165">
        <v>197576</v>
      </c>
      <c r="AK165" t="s">
        <v>195</v>
      </c>
      <c r="AL165" t="s">
        <v>216</v>
      </c>
      <c r="AN165" t="s">
        <v>197</v>
      </c>
      <c r="AO165">
        <v>0.57489999999999997</v>
      </c>
      <c r="AP165">
        <v>120.04309120000001</v>
      </c>
      <c r="AQ165" t="s">
        <v>39</v>
      </c>
      <c r="AR165" t="s">
        <v>198</v>
      </c>
      <c r="AS165" t="s">
        <v>199</v>
      </c>
      <c r="AT165" t="s">
        <v>200</v>
      </c>
    </row>
    <row r="166" spans="1:46" x14ac:dyDescent="0.3">
      <c r="A166">
        <v>3</v>
      </c>
      <c r="B166" s="5">
        <v>46302.390486111108</v>
      </c>
      <c r="C166" s="5">
        <v>46302.432118055556</v>
      </c>
      <c r="D166">
        <v>174674166</v>
      </c>
      <c r="E166">
        <v>2026</v>
      </c>
      <c r="F166">
        <v>10</v>
      </c>
      <c r="G166">
        <v>7</v>
      </c>
      <c r="H166" s="1" t="s">
        <v>184</v>
      </c>
      <c r="I166" t="s">
        <v>185</v>
      </c>
      <c r="J166" t="s">
        <v>186</v>
      </c>
      <c r="K166" t="s">
        <v>187</v>
      </c>
      <c r="L166" t="s">
        <v>188</v>
      </c>
      <c r="M166" t="s">
        <v>189</v>
      </c>
      <c r="N166" t="s">
        <v>190</v>
      </c>
      <c r="O166" s="6">
        <v>888799.64880600001</v>
      </c>
      <c r="P166" s="6">
        <v>-5.8914037357</v>
      </c>
      <c r="Q166" s="6">
        <v>-9.8206430000000005</v>
      </c>
      <c r="R166" s="6">
        <v>9.8206430000000005</v>
      </c>
      <c r="S166">
        <v>13</v>
      </c>
      <c r="T166" t="s">
        <v>191</v>
      </c>
      <c r="U166">
        <v>69</v>
      </c>
      <c r="V166" t="s">
        <v>192</v>
      </c>
      <c r="W166" s="1" t="s">
        <v>205</v>
      </c>
      <c r="X166" s="18">
        <v>0.59989999999999999</v>
      </c>
      <c r="Y166" s="18">
        <v>0.59989999999999999</v>
      </c>
      <c r="Z166" t="s">
        <v>194</v>
      </c>
      <c r="AA166">
        <v>193830</v>
      </c>
      <c r="AB166">
        <v>31132373</v>
      </c>
      <c r="AC166">
        <v>0</v>
      </c>
      <c r="AD166">
        <v>6394368</v>
      </c>
      <c r="AG166">
        <v>20969340</v>
      </c>
      <c r="AJ166">
        <v>197576</v>
      </c>
      <c r="AK166" t="s">
        <v>195</v>
      </c>
      <c r="AL166" t="s">
        <v>216</v>
      </c>
      <c r="AN166" t="s">
        <v>197</v>
      </c>
      <c r="AO166">
        <v>0.57489999999999997</v>
      </c>
      <c r="AP166">
        <v>120.04309120000001</v>
      </c>
      <c r="AQ166" t="s">
        <v>39</v>
      </c>
      <c r="AR166" t="s">
        <v>198</v>
      </c>
      <c r="AS166" t="s">
        <v>199</v>
      </c>
      <c r="AT166" t="s">
        <v>200</v>
      </c>
    </row>
    <row r="167" spans="1:46" x14ac:dyDescent="0.3">
      <c r="A167">
        <v>3</v>
      </c>
      <c r="B167" s="5">
        <v>46302.391689814816</v>
      </c>
      <c r="C167" s="5">
        <v>46302.433356481481</v>
      </c>
      <c r="D167">
        <v>174674349</v>
      </c>
      <c r="E167">
        <v>2026</v>
      </c>
      <c r="F167">
        <v>10</v>
      </c>
      <c r="G167">
        <v>7</v>
      </c>
      <c r="H167" s="1" t="s">
        <v>184</v>
      </c>
      <c r="I167" t="s">
        <v>185</v>
      </c>
      <c r="J167" t="s">
        <v>186</v>
      </c>
      <c r="K167" t="s">
        <v>187</v>
      </c>
      <c r="L167" t="s">
        <v>207</v>
      </c>
      <c r="M167" t="s">
        <v>208</v>
      </c>
      <c r="N167" t="s">
        <v>190</v>
      </c>
      <c r="O167" s="6">
        <v>888789.82816300006</v>
      </c>
      <c r="P167" s="6">
        <v>-533.91099999999994</v>
      </c>
      <c r="Q167" s="6">
        <v>-890</v>
      </c>
      <c r="R167" s="6">
        <v>890</v>
      </c>
      <c r="S167">
        <v>3</v>
      </c>
      <c r="T167" t="s">
        <v>209</v>
      </c>
      <c r="U167">
        <v>69</v>
      </c>
      <c r="V167" t="s">
        <v>192</v>
      </c>
      <c r="W167" s="1"/>
      <c r="X167" s="18">
        <v>0.59989999999999999</v>
      </c>
      <c r="Y167" s="18">
        <v>0.59989999999999999</v>
      </c>
      <c r="AA167">
        <v>193830</v>
      </c>
      <c r="AB167">
        <v>31132400</v>
      </c>
      <c r="AC167">
        <v>0</v>
      </c>
      <c r="AD167">
        <v>5799567</v>
      </c>
      <c r="AK167" t="s">
        <v>210</v>
      </c>
      <c r="AN167" t="s">
        <v>217</v>
      </c>
      <c r="AO167">
        <v>0.76990000000000003</v>
      </c>
    </row>
    <row r="168" spans="1:46" x14ac:dyDescent="0.3">
      <c r="A168">
        <v>3</v>
      </c>
      <c r="B168" s="5">
        <v>46302.391689814816</v>
      </c>
      <c r="C168" s="5">
        <v>46302.433356481481</v>
      </c>
      <c r="D168">
        <v>174674350</v>
      </c>
      <c r="E168">
        <v>2026</v>
      </c>
      <c r="F168">
        <v>10</v>
      </c>
      <c r="G168">
        <v>7</v>
      </c>
      <c r="H168" s="1" t="s">
        <v>184</v>
      </c>
      <c r="I168" t="s">
        <v>185</v>
      </c>
      <c r="J168" t="s">
        <v>186</v>
      </c>
      <c r="K168" t="s">
        <v>187</v>
      </c>
      <c r="L168" t="s">
        <v>188</v>
      </c>
      <c r="M168" t="s">
        <v>189</v>
      </c>
      <c r="N168" t="s">
        <v>213</v>
      </c>
      <c r="O168" s="6">
        <v>887899.82816300006</v>
      </c>
      <c r="P168" s="6">
        <v>533.91099999999994</v>
      </c>
      <c r="Q168" s="6">
        <v>890</v>
      </c>
      <c r="R168" s="6">
        <v>890</v>
      </c>
      <c r="S168">
        <v>3</v>
      </c>
      <c r="T168" t="s">
        <v>209</v>
      </c>
      <c r="U168">
        <v>69</v>
      </c>
      <c r="V168" t="s">
        <v>192</v>
      </c>
      <c r="W168" s="1"/>
      <c r="X168" s="18">
        <v>0.59989999999999999</v>
      </c>
      <c r="Y168" s="18">
        <v>0.59989999999999999</v>
      </c>
      <c r="AA168">
        <v>193830</v>
      </c>
      <c r="AB168">
        <v>31132400</v>
      </c>
      <c r="AC168">
        <v>0</v>
      </c>
      <c r="AD168">
        <v>6452550</v>
      </c>
      <c r="AK168" t="s">
        <v>210</v>
      </c>
      <c r="AN168" t="s">
        <v>217</v>
      </c>
      <c r="AO168">
        <v>0.76990000000000003</v>
      </c>
    </row>
    <row r="169" spans="1:46" x14ac:dyDescent="0.3">
      <c r="A169">
        <v>3</v>
      </c>
      <c r="B169" s="5">
        <v>46302.392407407409</v>
      </c>
      <c r="C169" s="5">
        <v>46302.434039351851</v>
      </c>
      <c r="D169">
        <v>174674507</v>
      </c>
      <c r="E169">
        <v>2026</v>
      </c>
      <c r="F169">
        <v>10</v>
      </c>
      <c r="G169">
        <v>7</v>
      </c>
      <c r="H169" s="1" t="s">
        <v>184</v>
      </c>
      <c r="I169" t="s">
        <v>185</v>
      </c>
      <c r="J169" t="s">
        <v>186</v>
      </c>
      <c r="K169" t="s">
        <v>187</v>
      </c>
      <c r="L169" t="s">
        <v>188</v>
      </c>
      <c r="M169" t="s">
        <v>189</v>
      </c>
      <c r="N169" t="s">
        <v>190</v>
      </c>
      <c r="O169" s="6">
        <v>888789.82816300006</v>
      </c>
      <c r="P169" s="6">
        <v>-4.4872573990999998</v>
      </c>
      <c r="Q169" s="6">
        <v>-7.4800089999999999</v>
      </c>
      <c r="R169" s="6">
        <v>7.4800089999999999</v>
      </c>
      <c r="S169">
        <v>13</v>
      </c>
      <c r="T169" t="s">
        <v>191</v>
      </c>
      <c r="U169">
        <v>69</v>
      </c>
      <c r="V169" t="s">
        <v>192</v>
      </c>
      <c r="W169" s="1" t="s">
        <v>203</v>
      </c>
      <c r="X169" s="18">
        <v>0.59989999999999999</v>
      </c>
      <c r="Y169" s="18">
        <v>0.59989999999999999</v>
      </c>
      <c r="Z169" t="s">
        <v>194</v>
      </c>
      <c r="AA169">
        <v>193830</v>
      </c>
      <c r="AB169">
        <v>31132417</v>
      </c>
      <c r="AC169">
        <v>0</v>
      </c>
      <c r="AD169">
        <v>6394368</v>
      </c>
      <c r="AG169">
        <v>20871851</v>
      </c>
      <c r="AJ169">
        <v>192817</v>
      </c>
      <c r="AK169" t="s">
        <v>195</v>
      </c>
      <c r="AL169" t="s">
        <v>204</v>
      </c>
      <c r="AN169" t="s">
        <v>197</v>
      </c>
      <c r="AO169">
        <v>0.57489999999999997</v>
      </c>
      <c r="AP169">
        <v>121.080091</v>
      </c>
      <c r="AQ169" t="s">
        <v>54</v>
      </c>
      <c r="AR169" t="s">
        <v>198</v>
      </c>
      <c r="AS169" t="s">
        <v>199</v>
      </c>
      <c r="AT169" t="s">
        <v>200</v>
      </c>
    </row>
    <row r="170" spans="1:46" x14ac:dyDescent="0.3">
      <c r="A170">
        <v>3</v>
      </c>
      <c r="B170" s="5">
        <v>46302.392534722225</v>
      </c>
      <c r="C170" s="5">
        <v>46302.434178240743</v>
      </c>
      <c r="D170">
        <v>174674546</v>
      </c>
      <c r="E170">
        <v>2026</v>
      </c>
      <c r="F170">
        <v>10</v>
      </c>
      <c r="G170">
        <v>7</v>
      </c>
      <c r="H170" s="1" t="s">
        <v>184</v>
      </c>
      <c r="I170" t="s">
        <v>185</v>
      </c>
      <c r="J170" t="s">
        <v>186</v>
      </c>
      <c r="K170" t="s">
        <v>187</v>
      </c>
      <c r="L170" t="s">
        <v>188</v>
      </c>
      <c r="M170" t="s">
        <v>189</v>
      </c>
      <c r="N170" t="s">
        <v>190</v>
      </c>
      <c r="O170" s="6">
        <v>888782.34815400001</v>
      </c>
      <c r="P170" s="6">
        <v>-4.4719893441999998</v>
      </c>
      <c r="Q170" s="6">
        <v>-7.4545579999999996</v>
      </c>
      <c r="R170" s="6">
        <v>7.4545579999999996</v>
      </c>
      <c r="S170">
        <v>13</v>
      </c>
      <c r="T170" t="s">
        <v>191</v>
      </c>
      <c r="U170">
        <v>69</v>
      </c>
      <c r="V170" t="s">
        <v>192</v>
      </c>
      <c r="W170" s="1" t="s">
        <v>201</v>
      </c>
      <c r="X170" s="18">
        <v>0.59989999999999999</v>
      </c>
      <c r="Y170" s="18">
        <v>0.59989999999999999</v>
      </c>
      <c r="Z170" t="s">
        <v>194</v>
      </c>
      <c r="AA170">
        <v>193830</v>
      </c>
      <c r="AB170">
        <v>31132422</v>
      </c>
      <c r="AC170">
        <v>0</v>
      </c>
      <c r="AD170">
        <v>6394368</v>
      </c>
      <c r="AG170">
        <v>20712950</v>
      </c>
      <c r="AJ170">
        <v>194436</v>
      </c>
      <c r="AK170" t="s">
        <v>195</v>
      </c>
      <c r="AL170" t="s">
        <v>202</v>
      </c>
      <c r="AN170" t="s">
        <v>197</v>
      </c>
      <c r="AO170">
        <v>0.57489999999999997</v>
      </c>
      <c r="AP170">
        <v>121.09409100000001</v>
      </c>
      <c r="AQ170" t="s">
        <v>56</v>
      </c>
      <c r="AR170" t="s">
        <v>198</v>
      </c>
      <c r="AS170" t="s">
        <v>199</v>
      </c>
      <c r="AT170" t="s">
        <v>200</v>
      </c>
    </row>
    <row r="171" spans="1:46" x14ac:dyDescent="0.3">
      <c r="A171">
        <v>3</v>
      </c>
      <c r="B171" s="5">
        <v>46302.393148148149</v>
      </c>
      <c r="C171" s="5">
        <v>46302.434791666667</v>
      </c>
      <c r="D171">
        <v>174674713</v>
      </c>
      <c r="E171">
        <v>2026</v>
      </c>
      <c r="F171">
        <v>10</v>
      </c>
      <c r="G171">
        <v>7</v>
      </c>
      <c r="H171" s="1" t="s">
        <v>184</v>
      </c>
      <c r="I171" t="s">
        <v>185</v>
      </c>
      <c r="J171" t="s">
        <v>186</v>
      </c>
      <c r="K171" t="s">
        <v>187</v>
      </c>
      <c r="L171" t="s">
        <v>188</v>
      </c>
      <c r="M171" t="s">
        <v>189</v>
      </c>
      <c r="N171" t="s">
        <v>190</v>
      </c>
      <c r="O171" s="6">
        <v>888774.89359600004</v>
      </c>
      <c r="P171" s="6">
        <v>-4.4872573990999998</v>
      </c>
      <c r="Q171" s="6">
        <v>-7.4800089999999999</v>
      </c>
      <c r="R171" s="6">
        <v>7.4800089999999999</v>
      </c>
      <c r="S171">
        <v>13</v>
      </c>
      <c r="T171" t="s">
        <v>191</v>
      </c>
      <c r="U171">
        <v>69</v>
      </c>
      <c r="V171" t="s">
        <v>192</v>
      </c>
      <c r="W171" s="1" t="s">
        <v>203</v>
      </c>
      <c r="X171" s="18">
        <v>0.59989999999999999</v>
      </c>
      <c r="Y171" s="18">
        <v>0.59989999999999999</v>
      </c>
      <c r="Z171" t="s">
        <v>194</v>
      </c>
      <c r="AA171">
        <v>193830</v>
      </c>
      <c r="AB171">
        <v>31132473</v>
      </c>
      <c r="AC171">
        <v>0</v>
      </c>
      <c r="AD171">
        <v>6394368</v>
      </c>
      <c r="AG171">
        <v>20871851</v>
      </c>
      <c r="AJ171">
        <v>192817</v>
      </c>
      <c r="AK171" t="s">
        <v>195</v>
      </c>
      <c r="AL171" t="s">
        <v>204</v>
      </c>
      <c r="AN171" t="s">
        <v>197</v>
      </c>
      <c r="AO171">
        <v>0.57489999999999997</v>
      </c>
      <c r="AP171">
        <v>121.080091</v>
      </c>
      <c r="AQ171" t="s">
        <v>54</v>
      </c>
      <c r="AR171" t="s">
        <v>198</v>
      </c>
      <c r="AS171" t="s">
        <v>199</v>
      </c>
      <c r="AT171" t="s">
        <v>200</v>
      </c>
    </row>
    <row r="172" spans="1:46" x14ac:dyDescent="0.3">
      <c r="A172">
        <v>3</v>
      </c>
      <c r="B172" s="5">
        <v>46302.393923611111</v>
      </c>
      <c r="C172" s="5">
        <v>46302.435567129629</v>
      </c>
      <c r="D172">
        <v>174675004</v>
      </c>
      <c r="E172">
        <v>2026</v>
      </c>
      <c r="F172">
        <v>10</v>
      </c>
      <c r="G172">
        <v>7</v>
      </c>
      <c r="H172" s="1" t="s">
        <v>184</v>
      </c>
      <c r="I172" t="s">
        <v>185</v>
      </c>
      <c r="J172" t="s">
        <v>186</v>
      </c>
      <c r="K172" t="s">
        <v>187</v>
      </c>
      <c r="L172" t="s">
        <v>188</v>
      </c>
      <c r="M172" t="s">
        <v>189</v>
      </c>
      <c r="N172" t="s">
        <v>190</v>
      </c>
      <c r="O172" s="6">
        <v>888767.41358699999</v>
      </c>
      <c r="P172" s="6">
        <v>-4.4872573990999998</v>
      </c>
      <c r="Q172" s="6">
        <v>-7.4800089999999999</v>
      </c>
      <c r="R172" s="6">
        <v>7.4800089999999999</v>
      </c>
      <c r="S172">
        <v>13</v>
      </c>
      <c r="T172" t="s">
        <v>191</v>
      </c>
      <c r="U172">
        <v>69</v>
      </c>
      <c r="V172" t="s">
        <v>192</v>
      </c>
      <c r="W172" s="1" t="s">
        <v>203</v>
      </c>
      <c r="X172" s="18">
        <v>0.59989999999999999</v>
      </c>
      <c r="Y172" s="18">
        <v>0.59989999999999999</v>
      </c>
      <c r="Z172" t="s">
        <v>194</v>
      </c>
      <c r="AA172">
        <v>193830</v>
      </c>
      <c r="AB172">
        <v>31132532</v>
      </c>
      <c r="AC172">
        <v>0</v>
      </c>
      <c r="AD172">
        <v>6394368</v>
      </c>
      <c r="AG172">
        <v>20871851</v>
      </c>
      <c r="AJ172">
        <v>192817</v>
      </c>
      <c r="AK172" t="s">
        <v>195</v>
      </c>
      <c r="AL172" t="s">
        <v>204</v>
      </c>
      <c r="AN172" t="s">
        <v>197</v>
      </c>
      <c r="AO172">
        <v>0.57489999999999997</v>
      </c>
      <c r="AP172">
        <v>121.080091</v>
      </c>
      <c r="AQ172" t="s">
        <v>54</v>
      </c>
      <c r="AR172" t="s">
        <v>198</v>
      </c>
      <c r="AS172" t="s">
        <v>199</v>
      </c>
      <c r="AT172" t="s">
        <v>200</v>
      </c>
    </row>
    <row r="173" spans="1:46" x14ac:dyDescent="0.3">
      <c r="A173">
        <v>3</v>
      </c>
      <c r="B173" s="5">
        <v>46302.394594907404</v>
      </c>
      <c r="C173" s="5">
        <v>46302.436226851853</v>
      </c>
      <c r="D173">
        <v>174675087</v>
      </c>
      <c r="E173">
        <v>2026</v>
      </c>
      <c r="F173">
        <v>10</v>
      </c>
      <c r="G173">
        <v>7</v>
      </c>
      <c r="H173" s="1" t="s">
        <v>184</v>
      </c>
      <c r="I173" t="s">
        <v>185</v>
      </c>
      <c r="J173" t="s">
        <v>186</v>
      </c>
      <c r="K173" t="s">
        <v>187</v>
      </c>
      <c r="L173" t="s">
        <v>188</v>
      </c>
      <c r="M173" t="s">
        <v>189</v>
      </c>
      <c r="N173" t="s">
        <v>190</v>
      </c>
      <c r="O173" s="6">
        <v>888759.93357800005</v>
      </c>
      <c r="P173" s="6">
        <v>-8.8170668438999993</v>
      </c>
      <c r="Q173" s="6">
        <v>-14.697561</v>
      </c>
      <c r="R173" s="6">
        <v>14.697561</v>
      </c>
      <c r="S173">
        <v>13</v>
      </c>
      <c r="T173" t="s">
        <v>191</v>
      </c>
      <c r="U173">
        <v>69</v>
      </c>
      <c r="V173" t="s">
        <v>192</v>
      </c>
      <c r="W173" s="1" t="s">
        <v>71</v>
      </c>
      <c r="X173" s="18">
        <v>0.59989999999999999</v>
      </c>
      <c r="Y173" s="18">
        <v>0.59989999999999999</v>
      </c>
      <c r="Z173" t="s">
        <v>194</v>
      </c>
      <c r="AA173">
        <v>193830</v>
      </c>
      <c r="AB173">
        <v>31132546</v>
      </c>
      <c r="AC173">
        <v>0</v>
      </c>
      <c r="AD173">
        <v>6394368</v>
      </c>
      <c r="AG173">
        <v>20969357</v>
      </c>
      <c r="AJ173">
        <v>297415</v>
      </c>
      <c r="AK173" t="s">
        <v>195</v>
      </c>
      <c r="AL173" t="s">
        <v>218</v>
      </c>
      <c r="AN173" t="s">
        <v>197</v>
      </c>
      <c r="AO173">
        <v>0.57489999999999997</v>
      </c>
      <c r="AP173">
        <v>121.00759102000001</v>
      </c>
      <c r="AQ173" t="s">
        <v>72</v>
      </c>
      <c r="AR173" t="s">
        <v>198</v>
      </c>
      <c r="AS173" t="s">
        <v>199</v>
      </c>
      <c r="AT173" t="s">
        <v>200</v>
      </c>
    </row>
    <row r="174" spans="1:46" x14ac:dyDescent="0.3">
      <c r="A174">
        <v>3</v>
      </c>
      <c r="B174" s="5">
        <v>46302.394594907404</v>
      </c>
      <c r="C174" s="5">
        <v>46302.436238425929</v>
      </c>
      <c r="D174">
        <v>174675100</v>
      </c>
      <c r="E174">
        <v>2026</v>
      </c>
      <c r="F174">
        <v>10</v>
      </c>
      <c r="G174">
        <v>7</v>
      </c>
      <c r="H174" s="1" t="s">
        <v>184</v>
      </c>
      <c r="I174" t="s">
        <v>185</v>
      </c>
      <c r="J174" t="s">
        <v>186</v>
      </c>
      <c r="K174" t="s">
        <v>187</v>
      </c>
      <c r="L174" t="s">
        <v>188</v>
      </c>
      <c r="M174" t="s">
        <v>189</v>
      </c>
      <c r="N174" t="s">
        <v>190</v>
      </c>
      <c r="O174" s="6">
        <v>888745.23601700005</v>
      </c>
      <c r="P174" s="6">
        <v>-4.4872573990999998</v>
      </c>
      <c r="Q174" s="6">
        <v>-7.4800089999999999</v>
      </c>
      <c r="R174" s="6">
        <v>7.4800089999999999</v>
      </c>
      <c r="S174">
        <v>13</v>
      </c>
      <c r="T174" t="s">
        <v>191</v>
      </c>
      <c r="U174">
        <v>69</v>
      </c>
      <c r="V174" t="s">
        <v>192</v>
      </c>
      <c r="W174" s="1" t="s">
        <v>203</v>
      </c>
      <c r="X174" s="18">
        <v>0.59989999999999999</v>
      </c>
      <c r="Y174" s="18">
        <v>0.59989999999999999</v>
      </c>
      <c r="Z174" t="s">
        <v>194</v>
      </c>
      <c r="AA174">
        <v>193830</v>
      </c>
      <c r="AB174">
        <v>31132547</v>
      </c>
      <c r="AC174">
        <v>0</v>
      </c>
      <c r="AD174">
        <v>6394368</v>
      </c>
      <c r="AG174">
        <v>20871851</v>
      </c>
      <c r="AJ174">
        <v>192817</v>
      </c>
      <c r="AK174" t="s">
        <v>195</v>
      </c>
      <c r="AL174" t="s">
        <v>204</v>
      </c>
      <c r="AN174" t="s">
        <v>197</v>
      </c>
      <c r="AO174">
        <v>0.57489999999999997</v>
      </c>
      <c r="AP174">
        <v>121.080091</v>
      </c>
      <c r="AQ174" t="s">
        <v>54</v>
      </c>
      <c r="AR174" t="s">
        <v>198</v>
      </c>
      <c r="AS174" t="s">
        <v>199</v>
      </c>
      <c r="AT174" t="s">
        <v>200</v>
      </c>
    </row>
    <row r="175" spans="1:46" x14ac:dyDescent="0.3">
      <c r="A175">
        <v>3</v>
      </c>
      <c r="B175" s="5">
        <v>46302.395277777781</v>
      </c>
      <c r="C175" s="5">
        <v>46302.436909722222</v>
      </c>
      <c r="D175">
        <v>174675241</v>
      </c>
      <c r="E175">
        <v>2026</v>
      </c>
      <c r="F175">
        <v>10</v>
      </c>
      <c r="G175">
        <v>7</v>
      </c>
      <c r="H175" s="1" t="s">
        <v>184</v>
      </c>
      <c r="I175" t="s">
        <v>185</v>
      </c>
      <c r="J175" t="s">
        <v>186</v>
      </c>
      <c r="K175" t="s">
        <v>187</v>
      </c>
      <c r="L175" t="s">
        <v>188</v>
      </c>
      <c r="M175" t="s">
        <v>189</v>
      </c>
      <c r="N175" t="s">
        <v>190</v>
      </c>
      <c r="O175" s="6">
        <v>888737.756008</v>
      </c>
      <c r="P175" s="6">
        <v>-4.4872573990999998</v>
      </c>
      <c r="Q175" s="6">
        <v>-7.4800089999999999</v>
      </c>
      <c r="R175" s="6">
        <v>7.4800089999999999</v>
      </c>
      <c r="S175">
        <v>13</v>
      </c>
      <c r="T175" t="s">
        <v>191</v>
      </c>
      <c r="U175">
        <v>69</v>
      </c>
      <c r="V175" t="s">
        <v>192</v>
      </c>
      <c r="W175" s="1" t="s">
        <v>203</v>
      </c>
      <c r="X175" s="18">
        <v>0.59989999999999999</v>
      </c>
      <c r="Y175" s="18">
        <v>0.59989999999999999</v>
      </c>
      <c r="Z175" t="s">
        <v>194</v>
      </c>
      <c r="AA175">
        <v>193830</v>
      </c>
      <c r="AB175">
        <v>31132571</v>
      </c>
      <c r="AC175">
        <v>0</v>
      </c>
      <c r="AD175">
        <v>6394368</v>
      </c>
      <c r="AG175">
        <v>20871851</v>
      </c>
      <c r="AJ175">
        <v>192817</v>
      </c>
      <c r="AK175" t="s">
        <v>195</v>
      </c>
      <c r="AL175" t="s">
        <v>204</v>
      </c>
      <c r="AN175" t="s">
        <v>197</v>
      </c>
      <c r="AO175">
        <v>0.57489999999999997</v>
      </c>
      <c r="AP175">
        <v>121.080091</v>
      </c>
      <c r="AQ175" t="s">
        <v>54</v>
      </c>
      <c r="AR175" t="s">
        <v>198</v>
      </c>
      <c r="AS175" t="s">
        <v>199</v>
      </c>
      <c r="AT175" t="s">
        <v>200</v>
      </c>
    </row>
    <row r="176" spans="1:46" x14ac:dyDescent="0.3">
      <c r="A176">
        <v>3</v>
      </c>
      <c r="B176" s="5">
        <v>46302.395891203705</v>
      </c>
      <c r="C176" s="5">
        <v>46302.437534722223</v>
      </c>
      <c r="D176">
        <v>174675305</v>
      </c>
      <c r="E176">
        <v>2026</v>
      </c>
      <c r="F176">
        <v>10</v>
      </c>
      <c r="G176">
        <v>7</v>
      </c>
      <c r="H176" s="1" t="s">
        <v>184</v>
      </c>
      <c r="I176" t="s">
        <v>185</v>
      </c>
      <c r="J176" t="s">
        <v>186</v>
      </c>
      <c r="K176" t="s">
        <v>187</v>
      </c>
      <c r="L176" t="s">
        <v>188</v>
      </c>
      <c r="M176" t="s">
        <v>189</v>
      </c>
      <c r="N176" t="s">
        <v>190</v>
      </c>
      <c r="O176" s="6">
        <v>888730.27599899995</v>
      </c>
      <c r="P176" s="6">
        <v>-4.4719893441999998</v>
      </c>
      <c r="Q176" s="6">
        <v>-7.4545579999999996</v>
      </c>
      <c r="R176" s="6">
        <v>7.4545579999999996</v>
      </c>
      <c r="S176">
        <v>13</v>
      </c>
      <c r="T176" t="s">
        <v>191</v>
      </c>
      <c r="U176">
        <v>69</v>
      </c>
      <c r="V176" t="s">
        <v>192</v>
      </c>
      <c r="W176" s="1" t="s">
        <v>201</v>
      </c>
      <c r="X176" s="18">
        <v>0.59989999999999999</v>
      </c>
      <c r="Y176" s="18">
        <v>0.59989999999999999</v>
      </c>
      <c r="Z176" t="s">
        <v>194</v>
      </c>
      <c r="AA176">
        <v>193830</v>
      </c>
      <c r="AB176">
        <v>31132587</v>
      </c>
      <c r="AC176">
        <v>0</v>
      </c>
      <c r="AD176">
        <v>6394368</v>
      </c>
      <c r="AG176">
        <v>20712950</v>
      </c>
      <c r="AJ176">
        <v>194436</v>
      </c>
      <c r="AK176" t="s">
        <v>195</v>
      </c>
      <c r="AL176" t="s">
        <v>202</v>
      </c>
      <c r="AN176" t="s">
        <v>197</v>
      </c>
      <c r="AO176">
        <v>0.57489999999999997</v>
      </c>
      <c r="AP176">
        <v>121.09409100000001</v>
      </c>
      <c r="AQ176" t="s">
        <v>56</v>
      </c>
      <c r="AR176" t="s">
        <v>198</v>
      </c>
      <c r="AS176" t="s">
        <v>199</v>
      </c>
      <c r="AT176" t="s">
        <v>200</v>
      </c>
    </row>
    <row r="177" spans="1:46" x14ac:dyDescent="0.3">
      <c r="A177">
        <v>3</v>
      </c>
      <c r="B177" s="5">
        <v>46302.39634259259</v>
      </c>
      <c r="C177" s="5">
        <v>46302.437986111108</v>
      </c>
      <c r="D177">
        <v>174675429</v>
      </c>
      <c r="E177">
        <v>2026</v>
      </c>
      <c r="F177">
        <v>10</v>
      </c>
      <c r="G177">
        <v>7</v>
      </c>
      <c r="H177" s="1" t="s">
        <v>184</v>
      </c>
      <c r="I177" t="s">
        <v>185</v>
      </c>
      <c r="J177" t="s">
        <v>186</v>
      </c>
      <c r="K177" t="s">
        <v>187</v>
      </c>
      <c r="L177" t="s">
        <v>188</v>
      </c>
      <c r="M177" t="s">
        <v>189</v>
      </c>
      <c r="N177" t="s">
        <v>190</v>
      </c>
      <c r="O177" s="6">
        <v>888722.82144099998</v>
      </c>
      <c r="P177" s="6">
        <v>-5.8914037357</v>
      </c>
      <c r="Q177" s="6">
        <v>-9.8206430000000005</v>
      </c>
      <c r="R177" s="6">
        <v>9.8206430000000005</v>
      </c>
      <c r="S177">
        <v>13</v>
      </c>
      <c r="T177" t="s">
        <v>191</v>
      </c>
      <c r="U177">
        <v>69</v>
      </c>
      <c r="V177" t="s">
        <v>192</v>
      </c>
      <c r="W177" s="1" t="s">
        <v>205</v>
      </c>
      <c r="X177" s="18">
        <v>0.59989999999999999</v>
      </c>
      <c r="Y177" s="18">
        <v>0.59989999999999999</v>
      </c>
      <c r="Z177" t="s">
        <v>194</v>
      </c>
      <c r="AA177">
        <v>193830</v>
      </c>
      <c r="AB177">
        <v>31132606</v>
      </c>
      <c r="AC177">
        <v>0</v>
      </c>
      <c r="AD177">
        <v>6394368</v>
      </c>
      <c r="AG177">
        <v>20969340</v>
      </c>
      <c r="AJ177">
        <v>197576</v>
      </c>
      <c r="AK177" t="s">
        <v>195</v>
      </c>
      <c r="AL177" t="s">
        <v>216</v>
      </c>
      <c r="AN177" t="s">
        <v>197</v>
      </c>
      <c r="AO177">
        <v>0.57489999999999997</v>
      </c>
      <c r="AP177">
        <v>120.04309120000001</v>
      </c>
      <c r="AQ177" t="s">
        <v>39</v>
      </c>
      <c r="AR177" t="s">
        <v>198</v>
      </c>
      <c r="AS177" t="s">
        <v>199</v>
      </c>
      <c r="AT177" t="s">
        <v>200</v>
      </c>
    </row>
    <row r="178" spans="1:46" x14ac:dyDescent="0.3">
      <c r="A178">
        <v>3</v>
      </c>
      <c r="B178" s="5">
        <v>46302.397129629629</v>
      </c>
      <c r="C178" s="5">
        <v>46302.438773148147</v>
      </c>
      <c r="D178">
        <v>174675768</v>
      </c>
      <c r="E178">
        <v>2026</v>
      </c>
      <c r="F178">
        <v>10</v>
      </c>
      <c r="G178">
        <v>7</v>
      </c>
      <c r="H178" s="1" t="s">
        <v>184</v>
      </c>
      <c r="I178" t="s">
        <v>185</v>
      </c>
      <c r="J178" t="s">
        <v>186</v>
      </c>
      <c r="K178" t="s">
        <v>187</v>
      </c>
      <c r="L178" t="s">
        <v>188</v>
      </c>
      <c r="M178" t="s">
        <v>189</v>
      </c>
      <c r="N178" t="s">
        <v>190</v>
      </c>
      <c r="O178" s="6">
        <v>888713.00079800002</v>
      </c>
      <c r="P178" s="6">
        <v>-5.8914037357</v>
      </c>
      <c r="Q178" s="6">
        <v>-9.8206430000000005</v>
      </c>
      <c r="R178" s="6">
        <v>9.8206430000000005</v>
      </c>
      <c r="S178">
        <v>13</v>
      </c>
      <c r="T178" t="s">
        <v>191</v>
      </c>
      <c r="U178">
        <v>69</v>
      </c>
      <c r="V178" t="s">
        <v>192</v>
      </c>
      <c r="W178" s="1" t="s">
        <v>205</v>
      </c>
      <c r="X178" s="18">
        <v>0.59989999999999999</v>
      </c>
      <c r="Y178" s="18">
        <v>0.59989999999999999</v>
      </c>
      <c r="Z178" t="s">
        <v>194</v>
      </c>
      <c r="AA178">
        <v>193830</v>
      </c>
      <c r="AB178">
        <v>31132651</v>
      </c>
      <c r="AC178">
        <v>0</v>
      </c>
      <c r="AD178">
        <v>6394368</v>
      </c>
      <c r="AG178">
        <v>20969340</v>
      </c>
      <c r="AJ178">
        <v>197576</v>
      </c>
      <c r="AK178" t="s">
        <v>195</v>
      </c>
      <c r="AL178" t="s">
        <v>216</v>
      </c>
      <c r="AN178" t="s">
        <v>197</v>
      </c>
      <c r="AO178">
        <v>0.57489999999999997</v>
      </c>
      <c r="AP178">
        <v>120.04309120000001</v>
      </c>
      <c r="AQ178" t="s">
        <v>39</v>
      </c>
      <c r="AR178" t="s">
        <v>198</v>
      </c>
      <c r="AS178" t="s">
        <v>199</v>
      </c>
      <c r="AT178" t="s">
        <v>200</v>
      </c>
    </row>
    <row r="179" spans="1:46" x14ac:dyDescent="0.3">
      <c r="A179">
        <v>3</v>
      </c>
      <c r="B179" s="5">
        <v>46302.397847222222</v>
      </c>
      <c r="C179" s="5">
        <v>46302.43949074074</v>
      </c>
      <c r="D179">
        <v>174675899</v>
      </c>
      <c r="E179">
        <v>2026</v>
      </c>
      <c r="F179">
        <v>10</v>
      </c>
      <c r="G179">
        <v>7</v>
      </c>
      <c r="H179" s="1" t="s">
        <v>184</v>
      </c>
      <c r="I179" t="s">
        <v>185</v>
      </c>
      <c r="J179" t="s">
        <v>186</v>
      </c>
      <c r="K179" t="s">
        <v>187</v>
      </c>
      <c r="L179" t="s">
        <v>188</v>
      </c>
      <c r="M179" t="s">
        <v>189</v>
      </c>
      <c r="N179" t="s">
        <v>190</v>
      </c>
      <c r="O179" s="6">
        <v>888703.18015499995</v>
      </c>
      <c r="P179" s="6">
        <v>-4.4872573990999998</v>
      </c>
      <c r="Q179" s="6">
        <v>-7.4800089999999999</v>
      </c>
      <c r="R179" s="6">
        <v>7.4800089999999999</v>
      </c>
      <c r="S179">
        <v>13</v>
      </c>
      <c r="T179" t="s">
        <v>191</v>
      </c>
      <c r="U179">
        <v>69</v>
      </c>
      <c r="V179" t="s">
        <v>192</v>
      </c>
      <c r="W179" s="1" t="s">
        <v>203</v>
      </c>
      <c r="X179" s="18">
        <v>0.59989999999999999</v>
      </c>
      <c r="Y179" s="18">
        <v>0.59989999999999999</v>
      </c>
      <c r="Z179" t="s">
        <v>194</v>
      </c>
      <c r="AA179">
        <v>193830</v>
      </c>
      <c r="AB179">
        <v>31132674</v>
      </c>
      <c r="AC179">
        <v>0</v>
      </c>
      <c r="AD179">
        <v>6394368</v>
      </c>
      <c r="AG179">
        <v>20871851</v>
      </c>
      <c r="AJ179">
        <v>192817</v>
      </c>
      <c r="AK179" t="s">
        <v>195</v>
      </c>
      <c r="AL179" t="s">
        <v>204</v>
      </c>
      <c r="AN179" t="s">
        <v>197</v>
      </c>
      <c r="AO179">
        <v>0.57489999999999997</v>
      </c>
      <c r="AP179">
        <v>121.080091</v>
      </c>
      <c r="AQ179" t="s">
        <v>54</v>
      </c>
      <c r="AR179" t="s">
        <v>198</v>
      </c>
      <c r="AS179" t="s">
        <v>199</v>
      </c>
      <c r="AT179" t="s">
        <v>200</v>
      </c>
    </row>
    <row r="180" spans="1:46" x14ac:dyDescent="0.3">
      <c r="A180">
        <v>3</v>
      </c>
      <c r="B180" s="5">
        <v>46302.399282407408</v>
      </c>
      <c r="C180" s="5">
        <v>46302.440925925926</v>
      </c>
      <c r="D180">
        <v>174676311</v>
      </c>
      <c r="E180">
        <v>2026</v>
      </c>
      <c r="F180">
        <v>10</v>
      </c>
      <c r="G180">
        <v>7</v>
      </c>
      <c r="H180" s="1" t="s">
        <v>184</v>
      </c>
      <c r="I180" t="s">
        <v>185</v>
      </c>
      <c r="J180" t="s">
        <v>186</v>
      </c>
      <c r="K180" t="s">
        <v>187</v>
      </c>
      <c r="L180" t="s">
        <v>188</v>
      </c>
      <c r="M180" t="s">
        <v>189</v>
      </c>
      <c r="N180" t="s">
        <v>190</v>
      </c>
      <c r="O180" s="6">
        <v>888695.70014600002</v>
      </c>
      <c r="P180" s="6">
        <v>-4.4719893441999998</v>
      </c>
      <c r="Q180" s="6">
        <v>-7.4545579999999996</v>
      </c>
      <c r="R180" s="6">
        <v>7.4545579999999996</v>
      </c>
      <c r="S180">
        <v>13</v>
      </c>
      <c r="T180" t="s">
        <v>191</v>
      </c>
      <c r="U180">
        <v>69</v>
      </c>
      <c r="V180" t="s">
        <v>192</v>
      </c>
      <c r="W180" s="1" t="s">
        <v>201</v>
      </c>
      <c r="X180" s="18">
        <v>0.59989999999999999</v>
      </c>
      <c r="Y180" s="18">
        <v>0.59989999999999999</v>
      </c>
      <c r="Z180" t="s">
        <v>194</v>
      </c>
      <c r="AA180">
        <v>193830</v>
      </c>
      <c r="AB180">
        <v>31132745</v>
      </c>
      <c r="AC180">
        <v>0</v>
      </c>
      <c r="AD180">
        <v>6394368</v>
      </c>
      <c r="AG180">
        <v>20712950</v>
      </c>
      <c r="AJ180">
        <v>194436</v>
      </c>
      <c r="AK180" t="s">
        <v>195</v>
      </c>
      <c r="AL180" t="s">
        <v>202</v>
      </c>
      <c r="AN180" t="s">
        <v>197</v>
      </c>
      <c r="AO180">
        <v>0.57489999999999997</v>
      </c>
      <c r="AP180">
        <v>121.09409100000001</v>
      </c>
      <c r="AQ180" t="s">
        <v>56</v>
      </c>
      <c r="AR180" t="s">
        <v>198</v>
      </c>
      <c r="AS180" t="s">
        <v>199</v>
      </c>
      <c r="AT180" t="s">
        <v>200</v>
      </c>
    </row>
    <row r="181" spans="1:46" x14ac:dyDescent="0.3">
      <c r="A181">
        <v>3</v>
      </c>
      <c r="B181" s="5">
        <v>46302.400821759256</v>
      </c>
      <c r="C181" s="5">
        <v>46302.442465277774</v>
      </c>
      <c r="D181">
        <v>174676653</v>
      </c>
      <c r="E181">
        <v>2026</v>
      </c>
      <c r="F181">
        <v>10</v>
      </c>
      <c r="G181">
        <v>7</v>
      </c>
      <c r="H181" s="1" t="s">
        <v>184</v>
      </c>
      <c r="I181" t="s">
        <v>185</v>
      </c>
      <c r="J181" t="s">
        <v>186</v>
      </c>
      <c r="K181" t="s">
        <v>187</v>
      </c>
      <c r="L181" t="s">
        <v>188</v>
      </c>
      <c r="M181" t="s">
        <v>189</v>
      </c>
      <c r="N181" t="s">
        <v>190</v>
      </c>
      <c r="O181" s="6">
        <v>888688.24558800005</v>
      </c>
      <c r="P181" s="6">
        <v>-5.8914037357</v>
      </c>
      <c r="Q181" s="6">
        <v>-9.8206430000000005</v>
      </c>
      <c r="R181" s="6">
        <v>9.8206430000000005</v>
      </c>
      <c r="S181">
        <v>13</v>
      </c>
      <c r="T181" t="s">
        <v>191</v>
      </c>
      <c r="U181">
        <v>69</v>
      </c>
      <c r="V181" t="s">
        <v>192</v>
      </c>
      <c r="W181" s="1" t="s">
        <v>205</v>
      </c>
      <c r="X181" s="18">
        <v>0.59989999999999999</v>
      </c>
      <c r="Y181" s="18">
        <v>0.59989999999999999</v>
      </c>
      <c r="Z181" t="s">
        <v>194</v>
      </c>
      <c r="AA181">
        <v>193830</v>
      </c>
      <c r="AB181">
        <v>31132783</v>
      </c>
      <c r="AC181">
        <v>0</v>
      </c>
      <c r="AD181">
        <v>6394368</v>
      </c>
      <c r="AG181">
        <v>20969340</v>
      </c>
      <c r="AJ181">
        <v>197576</v>
      </c>
      <c r="AK181" t="s">
        <v>195</v>
      </c>
      <c r="AL181" t="s">
        <v>216</v>
      </c>
      <c r="AN181" t="s">
        <v>197</v>
      </c>
      <c r="AO181">
        <v>0.57489999999999997</v>
      </c>
      <c r="AP181">
        <v>120.04309120000001</v>
      </c>
      <c r="AQ181" t="s">
        <v>39</v>
      </c>
      <c r="AR181" t="s">
        <v>198</v>
      </c>
      <c r="AS181" t="s">
        <v>199</v>
      </c>
      <c r="AT181" t="s">
        <v>200</v>
      </c>
    </row>
    <row r="182" spans="1:46" x14ac:dyDescent="0.3">
      <c r="A182">
        <v>3</v>
      </c>
      <c r="B182" s="5">
        <v>46302.401539351849</v>
      </c>
      <c r="C182" s="5">
        <v>46302.443182870367</v>
      </c>
      <c r="D182">
        <v>174676819</v>
      </c>
      <c r="E182">
        <v>2026</v>
      </c>
      <c r="F182">
        <v>10</v>
      </c>
      <c r="G182">
        <v>7</v>
      </c>
      <c r="H182" s="1" t="s">
        <v>184</v>
      </c>
      <c r="I182" t="s">
        <v>185</v>
      </c>
      <c r="J182" t="s">
        <v>186</v>
      </c>
      <c r="K182" t="s">
        <v>187</v>
      </c>
      <c r="L182" t="s">
        <v>188</v>
      </c>
      <c r="M182" t="s">
        <v>189</v>
      </c>
      <c r="N182" t="s">
        <v>190</v>
      </c>
      <c r="O182" s="6">
        <v>888678.42494499998</v>
      </c>
      <c r="P182" s="6">
        <v>-4.4872573990999998</v>
      </c>
      <c r="Q182" s="6">
        <v>-7.4800089999999999</v>
      </c>
      <c r="R182" s="6">
        <v>7.4800089999999999</v>
      </c>
      <c r="S182">
        <v>13</v>
      </c>
      <c r="T182" t="s">
        <v>191</v>
      </c>
      <c r="U182">
        <v>69</v>
      </c>
      <c r="V182" t="s">
        <v>192</v>
      </c>
      <c r="W182" s="1" t="s">
        <v>203</v>
      </c>
      <c r="X182" s="18">
        <v>0.59989999999999999</v>
      </c>
      <c r="Y182" s="18">
        <v>0.59989999999999999</v>
      </c>
      <c r="Z182" t="s">
        <v>194</v>
      </c>
      <c r="AA182">
        <v>193830</v>
      </c>
      <c r="AB182">
        <v>31132807</v>
      </c>
      <c r="AC182">
        <v>0</v>
      </c>
      <c r="AD182">
        <v>6394368</v>
      </c>
      <c r="AG182">
        <v>20871851</v>
      </c>
      <c r="AJ182">
        <v>192817</v>
      </c>
      <c r="AK182" t="s">
        <v>195</v>
      </c>
      <c r="AL182" t="s">
        <v>204</v>
      </c>
      <c r="AN182" t="s">
        <v>197</v>
      </c>
      <c r="AO182">
        <v>0.57489999999999997</v>
      </c>
      <c r="AP182">
        <v>121.080091</v>
      </c>
      <c r="AQ182" t="s">
        <v>54</v>
      </c>
      <c r="AR182" t="s">
        <v>198</v>
      </c>
      <c r="AS182" t="s">
        <v>199</v>
      </c>
      <c r="AT182" t="s">
        <v>200</v>
      </c>
    </row>
    <row r="183" spans="1:46" x14ac:dyDescent="0.3">
      <c r="A183">
        <v>3</v>
      </c>
      <c r="B183" s="5">
        <v>46302.403657407405</v>
      </c>
      <c r="C183" s="5">
        <v>46302.445289351854</v>
      </c>
      <c r="D183">
        <v>174677192</v>
      </c>
      <c r="E183">
        <v>2026</v>
      </c>
      <c r="F183">
        <v>10</v>
      </c>
      <c r="G183">
        <v>7</v>
      </c>
      <c r="H183" s="1" t="s">
        <v>184</v>
      </c>
      <c r="I183" t="s">
        <v>185</v>
      </c>
      <c r="J183" t="s">
        <v>186</v>
      </c>
      <c r="K183" t="s">
        <v>187</v>
      </c>
      <c r="L183" t="s">
        <v>188</v>
      </c>
      <c r="M183" t="s">
        <v>189</v>
      </c>
      <c r="N183" t="s">
        <v>190</v>
      </c>
      <c r="O183" s="6">
        <v>888670.94493600004</v>
      </c>
      <c r="P183" s="6">
        <v>-4.4719893441999998</v>
      </c>
      <c r="Q183" s="6">
        <v>-7.4545579999999996</v>
      </c>
      <c r="R183" s="6">
        <v>7.4545579999999996</v>
      </c>
      <c r="S183">
        <v>13</v>
      </c>
      <c r="T183" t="s">
        <v>191</v>
      </c>
      <c r="U183">
        <v>69</v>
      </c>
      <c r="V183" t="s">
        <v>192</v>
      </c>
      <c r="W183" s="1" t="s">
        <v>201</v>
      </c>
      <c r="X183" s="18">
        <v>0.59989999999999999</v>
      </c>
      <c r="Y183" s="18">
        <v>0.59989999999999999</v>
      </c>
      <c r="Z183" t="s">
        <v>194</v>
      </c>
      <c r="AA183">
        <v>193830</v>
      </c>
      <c r="AB183">
        <v>31132877</v>
      </c>
      <c r="AC183">
        <v>0</v>
      </c>
      <c r="AD183">
        <v>6394368</v>
      </c>
      <c r="AG183">
        <v>20712950</v>
      </c>
      <c r="AJ183">
        <v>194436</v>
      </c>
      <c r="AK183" t="s">
        <v>195</v>
      </c>
      <c r="AL183" t="s">
        <v>202</v>
      </c>
      <c r="AN183" t="s">
        <v>197</v>
      </c>
      <c r="AO183">
        <v>0.57489999999999997</v>
      </c>
      <c r="AP183">
        <v>121.09409100000001</v>
      </c>
      <c r="AQ183" t="s">
        <v>56</v>
      </c>
      <c r="AR183" t="s">
        <v>198</v>
      </c>
      <c r="AS183" t="s">
        <v>199</v>
      </c>
      <c r="AT183" t="s">
        <v>200</v>
      </c>
    </row>
    <row r="184" spans="1:46" x14ac:dyDescent="0.3">
      <c r="A184">
        <v>3</v>
      </c>
      <c r="B184" s="5">
        <v>46302.403703703705</v>
      </c>
      <c r="C184" s="5">
        <v>46302.445335648146</v>
      </c>
      <c r="D184">
        <v>174677218</v>
      </c>
      <c r="E184">
        <v>2026</v>
      </c>
      <c r="F184">
        <v>10</v>
      </c>
      <c r="G184">
        <v>7</v>
      </c>
      <c r="H184" s="1" t="s">
        <v>184</v>
      </c>
      <c r="I184" t="s">
        <v>185</v>
      </c>
      <c r="J184" t="s">
        <v>186</v>
      </c>
      <c r="K184" t="s">
        <v>187</v>
      </c>
      <c r="L184" t="s">
        <v>188</v>
      </c>
      <c r="M184" t="s">
        <v>189</v>
      </c>
      <c r="N184" t="s">
        <v>190</v>
      </c>
      <c r="O184" s="6">
        <v>888663.49037799996</v>
      </c>
      <c r="P184" s="6">
        <v>-4.4872573990999998</v>
      </c>
      <c r="Q184" s="6">
        <v>-7.4800089999999999</v>
      </c>
      <c r="R184" s="6">
        <v>7.4800089999999999</v>
      </c>
      <c r="S184">
        <v>13</v>
      </c>
      <c r="T184" t="s">
        <v>191</v>
      </c>
      <c r="U184">
        <v>69</v>
      </c>
      <c r="V184" t="s">
        <v>192</v>
      </c>
      <c r="W184" s="1" t="s">
        <v>203</v>
      </c>
      <c r="X184" s="18">
        <v>0.59989999999999999</v>
      </c>
      <c r="Y184" s="18">
        <v>0.59989999999999999</v>
      </c>
      <c r="Z184" t="s">
        <v>194</v>
      </c>
      <c r="AA184">
        <v>193830</v>
      </c>
      <c r="AB184">
        <v>31132879</v>
      </c>
      <c r="AC184">
        <v>0</v>
      </c>
      <c r="AD184">
        <v>6394368</v>
      </c>
      <c r="AG184">
        <v>20871851</v>
      </c>
      <c r="AJ184">
        <v>192817</v>
      </c>
      <c r="AK184" t="s">
        <v>195</v>
      </c>
      <c r="AL184" t="s">
        <v>204</v>
      </c>
      <c r="AN184" t="s">
        <v>197</v>
      </c>
      <c r="AO184">
        <v>0.57489999999999997</v>
      </c>
      <c r="AP184">
        <v>121.080091</v>
      </c>
      <c r="AQ184" t="s">
        <v>54</v>
      </c>
      <c r="AR184" t="s">
        <v>198</v>
      </c>
      <c r="AS184" t="s">
        <v>199</v>
      </c>
      <c r="AT184" t="s">
        <v>200</v>
      </c>
    </row>
    <row r="185" spans="1:46" x14ac:dyDescent="0.3">
      <c r="A185">
        <v>3</v>
      </c>
      <c r="B185" s="5">
        <v>46302.404363425929</v>
      </c>
      <c r="C185" s="5">
        <v>46302.446006944447</v>
      </c>
      <c r="D185">
        <v>174677378</v>
      </c>
      <c r="E185">
        <v>2026</v>
      </c>
      <c r="F185">
        <v>10</v>
      </c>
      <c r="G185">
        <v>7</v>
      </c>
      <c r="H185" s="1" t="s">
        <v>184</v>
      </c>
      <c r="I185" t="s">
        <v>185</v>
      </c>
      <c r="J185" t="s">
        <v>186</v>
      </c>
      <c r="K185" t="s">
        <v>187</v>
      </c>
      <c r="L185" t="s">
        <v>188</v>
      </c>
      <c r="M185" t="s">
        <v>189</v>
      </c>
      <c r="N185" t="s">
        <v>190</v>
      </c>
      <c r="O185" s="6">
        <v>888656.01036900003</v>
      </c>
      <c r="P185" s="6">
        <v>-4.4872573990999998</v>
      </c>
      <c r="Q185" s="6">
        <v>-7.4800089999999999</v>
      </c>
      <c r="R185" s="6">
        <v>7.4800089999999999</v>
      </c>
      <c r="S185">
        <v>13</v>
      </c>
      <c r="T185" t="s">
        <v>191</v>
      </c>
      <c r="U185">
        <v>69</v>
      </c>
      <c r="V185" t="s">
        <v>192</v>
      </c>
      <c r="W185" s="1" t="s">
        <v>203</v>
      </c>
      <c r="X185" s="18">
        <v>0.59989999999999999</v>
      </c>
      <c r="Y185" s="18">
        <v>0.59989999999999999</v>
      </c>
      <c r="Z185" t="s">
        <v>194</v>
      </c>
      <c r="AA185">
        <v>193830</v>
      </c>
      <c r="AB185">
        <v>31132896</v>
      </c>
      <c r="AC185">
        <v>0</v>
      </c>
      <c r="AD185">
        <v>6394368</v>
      </c>
      <c r="AG185">
        <v>20871851</v>
      </c>
      <c r="AJ185">
        <v>192817</v>
      </c>
      <c r="AK185" t="s">
        <v>195</v>
      </c>
      <c r="AL185" t="s">
        <v>204</v>
      </c>
      <c r="AN185" t="s">
        <v>197</v>
      </c>
      <c r="AO185">
        <v>0.57489999999999997</v>
      </c>
      <c r="AP185">
        <v>121.080091</v>
      </c>
      <c r="AQ185" t="s">
        <v>54</v>
      </c>
      <c r="AR185" t="s">
        <v>198</v>
      </c>
      <c r="AS185" t="s">
        <v>199</v>
      </c>
      <c r="AT185" t="s">
        <v>200</v>
      </c>
    </row>
    <row r="186" spans="1:46" x14ac:dyDescent="0.3">
      <c r="A186">
        <v>3</v>
      </c>
      <c r="B186" s="5">
        <v>46302.405358796299</v>
      </c>
      <c r="C186" s="5">
        <v>46302.447002314817</v>
      </c>
      <c r="D186">
        <v>174677587</v>
      </c>
      <c r="E186">
        <v>2026</v>
      </c>
      <c r="F186">
        <v>10</v>
      </c>
      <c r="G186">
        <v>7</v>
      </c>
      <c r="H186" s="1" t="s">
        <v>184</v>
      </c>
      <c r="I186" t="s">
        <v>185</v>
      </c>
      <c r="J186" t="s">
        <v>186</v>
      </c>
      <c r="K186" t="s">
        <v>187</v>
      </c>
      <c r="L186" t="s">
        <v>188</v>
      </c>
      <c r="M186" t="s">
        <v>189</v>
      </c>
      <c r="N186" t="s">
        <v>190</v>
      </c>
      <c r="O186" s="6">
        <v>888648.53035999998</v>
      </c>
      <c r="P186" s="6">
        <v>-4.4872573990999998</v>
      </c>
      <c r="Q186" s="6">
        <v>-7.4800089999999999</v>
      </c>
      <c r="R186" s="6">
        <v>7.4800089999999999</v>
      </c>
      <c r="S186">
        <v>13</v>
      </c>
      <c r="T186" t="s">
        <v>191</v>
      </c>
      <c r="U186">
        <v>69</v>
      </c>
      <c r="V186" t="s">
        <v>192</v>
      </c>
      <c r="W186" s="1" t="s">
        <v>203</v>
      </c>
      <c r="X186" s="18">
        <v>0.59989999999999999</v>
      </c>
      <c r="Y186" s="18">
        <v>0.59989999999999999</v>
      </c>
      <c r="Z186" t="s">
        <v>194</v>
      </c>
      <c r="AA186">
        <v>193830</v>
      </c>
      <c r="AB186">
        <v>31132940</v>
      </c>
      <c r="AC186">
        <v>0</v>
      </c>
      <c r="AD186">
        <v>6394368</v>
      </c>
      <c r="AG186">
        <v>20871851</v>
      </c>
      <c r="AJ186">
        <v>192817</v>
      </c>
      <c r="AK186" t="s">
        <v>195</v>
      </c>
      <c r="AL186" t="s">
        <v>204</v>
      </c>
      <c r="AN186" t="s">
        <v>197</v>
      </c>
      <c r="AO186">
        <v>0.57489999999999997</v>
      </c>
      <c r="AP186">
        <v>121.080091</v>
      </c>
      <c r="AQ186" t="s">
        <v>54</v>
      </c>
      <c r="AR186" t="s">
        <v>198</v>
      </c>
      <c r="AS186" t="s">
        <v>199</v>
      </c>
      <c r="AT186" t="s">
        <v>200</v>
      </c>
    </row>
    <row r="187" spans="1:46" x14ac:dyDescent="0.3">
      <c r="A187">
        <v>3</v>
      </c>
      <c r="B187" s="5">
        <v>46302.406215277777</v>
      </c>
      <c r="C187" s="5">
        <v>46302.447858796295</v>
      </c>
      <c r="D187">
        <v>174677784</v>
      </c>
      <c r="E187">
        <v>2026</v>
      </c>
      <c r="F187">
        <v>10</v>
      </c>
      <c r="G187">
        <v>7</v>
      </c>
      <c r="H187" s="1" t="s">
        <v>184</v>
      </c>
      <c r="I187" t="s">
        <v>185</v>
      </c>
      <c r="J187" t="s">
        <v>186</v>
      </c>
      <c r="K187" t="s">
        <v>187</v>
      </c>
      <c r="L187" t="s">
        <v>188</v>
      </c>
      <c r="M187" t="s">
        <v>189</v>
      </c>
      <c r="N187" t="s">
        <v>190</v>
      </c>
      <c r="O187" s="6">
        <v>888641.05035100004</v>
      </c>
      <c r="P187" s="6">
        <v>-5.8914037357</v>
      </c>
      <c r="Q187" s="6">
        <v>-9.8206430000000005</v>
      </c>
      <c r="R187" s="6">
        <v>9.8206430000000005</v>
      </c>
      <c r="S187">
        <v>13</v>
      </c>
      <c r="T187" t="s">
        <v>191</v>
      </c>
      <c r="U187">
        <v>69</v>
      </c>
      <c r="V187" t="s">
        <v>192</v>
      </c>
      <c r="W187" s="1" t="s">
        <v>205</v>
      </c>
      <c r="X187" s="18">
        <v>0.59989999999999999</v>
      </c>
      <c r="Y187" s="18">
        <v>0.59989999999999999</v>
      </c>
      <c r="Z187" t="s">
        <v>194</v>
      </c>
      <c r="AA187">
        <v>193830</v>
      </c>
      <c r="AB187">
        <v>31132965</v>
      </c>
      <c r="AC187">
        <v>0</v>
      </c>
      <c r="AD187">
        <v>6394368</v>
      </c>
      <c r="AG187">
        <v>20969340</v>
      </c>
      <c r="AJ187">
        <v>197576</v>
      </c>
      <c r="AK187" t="s">
        <v>195</v>
      </c>
      <c r="AL187" t="s">
        <v>216</v>
      </c>
      <c r="AN187" t="s">
        <v>197</v>
      </c>
      <c r="AO187">
        <v>0.57489999999999997</v>
      </c>
      <c r="AP187">
        <v>120.04309120000001</v>
      </c>
      <c r="AQ187" t="s">
        <v>39</v>
      </c>
      <c r="AR187" t="s">
        <v>198</v>
      </c>
      <c r="AS187" t="s">
        <v>199</v>
      </c>
      <c r="AT187" t="s">
        <v>200</v>
      </c>
    </row>
    <row r="188" spans="1:46" x14ac:dyDescent="0.3">
      <c r="A188">
        <v>3</v>
      </c>
      <c r="B188" s="5">
        <v>46302.407164351855</v>
      </c>
      <c r="C188" s="5">
        <v>46302.448807870373</v>
      </c>
      <c r="D188">
        <v>174678077</v>
      </c>
      <c r="E188">
        <v>2026</v>
      </c>
      <c r="F188">
        <v>10</v>
      </c>
      <c r="G188">
        <v>7</v>
      </c>
      <c r="H188" s="1" t="s">
        <v>184</v>
      </c>
      <c r="I188" t="s">
        <v>185</v>
      </c>
      <c r="J188" t="s">
        <v>186</v>
      </c>
      <c r="K188" t="s">
        <v>187</v>
      </c>
      <c r="L188" t="s">
        <v>188</v>
      </c>
      <c r="M188" t="s">
        <v>189</v>
      </c>
      <c r="N188" t="s">
        <v>190</v>
      </c>
      <c r="O188" s="6">
        <v>888631.22970799997</v>
      </c>
      <c r="P188" s="6">
        <v>-5.8914037357</v>
      </c>
      <c r="Q188" s="6">
        <v>-9.8206430000000005</v>
      </c>
      <c r="R188" s="6">
        <v>9.8206430000000005</v>
      </c>
      <c r="S188">
        <v>13</v>
      </c>
      <c r="T188" t="s">
        <v>191</v>
      </c>
      <c r="U188">
        <v>69</v>
      </c>
      <c r="V188" t="s">
        <v>192</v>
      </c>
      <c r="W188" s="1" t="s">
        <v>205</v>
      </c>
      <c r="X188" s="18">
        <v>0.59989999999999999</v>
      </c>
      <c r="Y188" s="18">
        <v>0.59989999999999999</v>
      </c>
      <c r="Z188" t="s">
        <v>194</v>
      </c>
      <c r="AA188">
        <v>193830</v>
      </c>
      <c r="AB188">
        <v>31133001</v>
      </c>
      <c r="AC188">
        <v>0</v>
      </c>
      <c r="AD188">
        <v>6394368</v>
      </c>
      <c r="AG188">
        <v>20969340</v>
      </c>
      <c r="AJ188">
        <v>197576</v>
      </c>
      <c r="AK188" t="s">
        <v>195</v>
      </c>
      <c r="AL188" t="s">
        <v>216</v>
      </c>
      <c r="AN188" t="s">
        <v>197</v>
      </c>
      <c r="AO188">
        <v>0.57489999999999997</v>
      </c>
      <c r="AP188">
        <v>120.04309120000001</v>
      </c>
      <c r="AQ188" t="s">
        <v>39</v>
      </c>
      <c r="AR188" t="s">
        <v>198</v>
      </c>
      <c r="AS188" t="s">
        <v>199</v>
      </c>
      <c r="AT188" t="s">
        <v>200</v>
      </c>
    </row>
    <row r="189" spans="1:46" x14ac:dyDescent="0.3">
      <c r="A189">
        <v>3</v>
      </c>
      <c r="B189" s="5">
        <v>46302.407187500001</v>
      </c>
      <c r="C189" s="5">
        <v>46302.448831018519</v>
      </c>
      <c r="D189">
        <v>174678096</v>
      </c>
      <c r="E189">
        <v>2026</v>
      </c>
      <c r="F189">
        <v>10</v>
      </c>
      <c r="G189">
        <v>7</v>
      </c>
      <c r="H189" s="1" t="s">
        <v>184</v>
      </c>
      <c r="I189" t="s">
        <v>185</v>
      </c>
      <c r="J189" t="s">
        <v>186</v>
      </c>
      <c r="K189" t="s">
        <v>187</v>
      </c>
      <c r="L189" t="s">
        <v>188</v>
      </c>
      <c r="M189" t="s">
        <v>189</v>
      </c>
      <c r="N189" t="s">
        <v>190</v>
      </c>
      <c r="O189" s="6">
        <v>888621.40906500001</v>
      </c>
      <c r="P189" s="6">
        <v>-4.4719893441999998</v>
      </c>
      <c r="Q189" s="6">
        <v>-7.4545579999999996</v>
      </c>
      <c r="R189" s="6">
        <v>7.4545579999999996</v>
      </c>
      <c r="S189">
        <v>13</v>
      </c>
      <c r="T189" t="s">
        <v>191</v>
      </c>
      <c r="U189">
        <v>69</v>
      </c>
      <c r="V189" t="s">
        <v>192</v>
      </c>
      <c r="W189" s="1" t="s">
        <v>201</v>
      </c>
      <c r="X189" s="18">
        <v>0.59989999999999999</v>
      </c>
      <c r="Y189" s="18">
        <v>0.59989999999999999</v>
      </c>
      <c r="Z189" t="s">
        <v>194</v>
      </c>
      <c r="AA189">
        <v>193830</v>
      </c>
      <c r="AB189">
        <v>31133010</v>
      </c>
      <c r="AC189">
        <v>0</v>
      </c>
      <c r="AD189">
        <v>6394368</v>
      </c>
      <c r="AG189">
        <v>20712950</v>
      </c>
      <c r="AJ189">
        <v>194436</v>
      </c>
      <c r="AK189" t="s">
        <v>195</v>
      </c>
      <c r="AL189" t="s">
        <v>202</v>
      </c>
      <c r="AN189" t="s">
        <v>197</v>
      </c>
      <c r="AO189">
        <v>0.57489999999999997</v>
      </c>
      <c r="AP189">
        <v>121.09409100000001</v>
      </c>
      <c r="AQ189" t="s">
        <v>56</v>
      </c>
      <c r="AR189" t="s">
        <v>198</v>
      </c>
      <c r="AS189" t="s">
        <v>199</v>
      </c>
      <c r="AT189" t="s">
        <v>200</v>
      </c>
    </row>
    <row r="190" spans="1:46" x14ac:dyDescent="0.3">
      <c r="A190">
        <v>3</v>
      </c>
      <c r="B190" s="5">
        <v>46302.408009259256</v>
      </c>
      <c r="C190" s="5">
        <v>46302.449652777781</v>
      </c>
      <c r="D190">
        <v>174678322</v>
      </c>
      <c r="E190">
        <v>2026</v>
      </c>
      <c r="F190">
        <v>10</v>
      </c>
      <c r="G190">
        <v>7</v>
      </c>
      <c r="H190" s="1" t="s">
        <v>184</v>
      </c>
      <c r="I190" t="s">
        <v>185</v>
      </c>
      <c r="J190" t="s">
        <v>186</v>
      </c>
      <c r="K190" t="s">
        <v>187</v>
      </c>
      <c r="L190" t="s">
        <v>188</v>
      </c>
      <c r="M190" t="s">
        <v>189</v>
      </c>
      <c r="N190" t="s">
        <v>190</v>
      </c>
      <c r="O190" s="6">
        <v>888613.95450700005</v>
      </c>
      <c r="P190" s="6">
        <v>-4.4872573990999998</v>
      </c>
      <c r="Q190" s="6">
        <v>-7.4800089999999999</v>
      </c>
      <c r="R190" s="6">
        <v>7.4800089999999999</v>
      </c>
      <c r="S190">
        <v>13</v>
      </c>
      <c r="T190" t="s">
        <v>191</v>
      </c>
      <c r="U190">
        <v>69</v>
      </c>
      <c r="V190" t="s">
        <v>192</v>
      </c>
      <c r="W190" s="1" t="s">
        <v>203</v>
      </c>
      <c r="X190" s="18">
        <v>0.59989999999999999</v>
      </c>
      <c r="Y190" s="18">
        <v>0.59989999999999999</v>
      </c>
      <c r="Z190" t="s">
        <v>194</v>
      </c>
      <c r="AA190">
        <v>193830</v>
      </c>
      <c r="AB190">
        <v>31133035</v>
      </c>
      <c r="AC190">
        <v>0</v>
      </c>
      <c r="AD190">
        <v>6394368</v>
      </c>
      <c r="AG190">
        <v>20871851</v>
      </c>
      <c r="AJ190">
        <v>192817</v>
      </c>
      <c r="AK190" t="s">
        <v>195</v>
      </c>
      <c r="AL190" t="s">
        <v>204</v>
      </c>
      <c r="AN190" t="s">
        <v>197</v>
      </c>
      <c r="AO190">
        <v>0.57489999999999997</v>
      </c>
      <c r="AP190">
        <v>121.080091</v>
      </c>
      <c r="AQ190" t="s">
        <v>54</v>
      </c>
      <c r="AR190" t="s">
        <v>198</v>
      </c>
      <c r="AS190" t="s">
        <v>199</v>
      </c>
      <c r="AT190" t="s">
        <v>200</v>
      </c>
    </row>
    <row r="191" spans="1:46" x14ac:dyDescent="0.3">
      <c r="A191">
        <v>3</v>
      </c>
      <c r="B191" s="5">
        <v>46302.411041666666</v>
      </c>
      <c r="C191" s="5">
        <v>46302.452685185184</v>
      </c>
      <c r="D191">
        <v>174678923</v>
      </c>
      <c r="E191">
        <v>2026</v>
      </c>
      <c r="F191">
        <v>10</v>
      </c>
      <c r="G191">
        <v>7</v>
      </c>
      <c r="H191" s="1" t="s">
        <v>184</v>
      </c>
      <c r="I191" t="s">
        <v>185</v>
      </c>
      <c r="J191" t="s">
        <v>186</v>
      </c>
      <c r="K191" t="s">
        <v>187</v>
      </c>
      <c r="L191" t="s">
        <v>188</v>
      </c>
      <c r="M191" t="s">
        <v>189</v>
      </c>
      <c r="N191" t="s">
        <v>190</v>
      </c>
      <c r="O191" s="6">
        <v>888606.474498</v>
      </c>
      <c r="P191" s="6">
        <v>-4.4872573990999998</v>
      </c>
      <c r="Q191" s="6">
        <v>-7.4800089999999999</v>
      </c>
      <c r="R191" s="6">
        <v>7.4800089999999999</v>
      </c>
      <c r="S191">
        <v>13</v>
      </c>
      <c r="T191" t="s">
        <v>191</v>
      </c>
      <c r="U191">
        <v>69</v>
      </c>
      <c r="V191" t="s">
        <v>192</v>
      </c>
      <c r="W191" s="1" t="s">
        <v>203</v>
      </c>
      <c r="X191" s="18">
        <v>0.59989999999999999</v>
      </c>
      <c r="Y191" s="18">
        <v>0.59989999999999999</v>
      </c>
      <c r="Z191" t="s">
        <v>194</v>
      </c>
      <c r="AA191">
        <v>193830</v>
      </c>
      <c r="AB191">
        <v>31133147</v>
      </c>
      <c r="AC191">
        <v>0</v>
      </c>
      <c r="AD191">
        <v>6394368</v>
      </c>
      <c r="AG191">
        <v>20871851</v>
      </c>
      <c r="AJ191">
        <v>192817</v>
      </c>
      <c r="AK191" t="s">
        <v>195</v>
      </c>
      <c r="AL191" t="s">
        <v>204</v>
      </c>
      <c r="AN191" t="s">
        <v>197</v>
      </c>
      <c r="AO191">
        <v>0.57489999999999997</v>
      </c>
      <c r="AP191">
        <v>121.080091</v>
      </c>
      <c r="AQ191" t="s">
        <v>54</v>
      </c>
      <c r="AR191" t="s">
        <v>198</v>
      </c>
      <c r="AS191" t="s">
        <v>199</v>
      </c>
      <c r="AT191" t="s">
        <v>200</v>
      </c>
    </row>
    <row r="192" spans="1:46" x14ac:dyDescent="0.3">
      <c r="A192">
        <v>3</v>
      </c>
      <c r="B192" s="5">
        <v>46302.411145833335</v>
      </c>
      <c r="C192" s="5">
        <v>46302.452800925923</v>
      </c>
      <c r="D192">
        <v>174678959</v>
      </c>
      <c r="E192">
        <v>2026</v>
      </c>
      <c r="F192">
        <v>10</v>
      </c>
      <c r="G192">
        <v>7</v>
      </c>
      <c r="H192" s="1" t="s">
        <v>184</v>
      </c>
      <c r="I192" t="s">
        <v>185</v>
      </c>
      <c r="J192" t="s">
        <v>186</v>
      </c>
      <c r="K192" t="s">
        <v>187</v>
      </c>
      <c r="L192" t="s">
        <v>188</v>
      </c>
      <c r="M192" t="s">
        <v>189</v>
      </c>
      <c r="N192" t="s">
        <v>190</v>
      </c>
      <c r="O192" s="6">
        <v>888598.99448899995</v>
      </c>
      <c r="P192" s="6">
        <v>-4.4719893441999998</v>
      </c>
      <c r="Q192" s="6">
        <v>-7.4545579999999996</v>
      </c>
      <c r="R192" s="6">
        <v>7.4545579999999996</v>
      </c>
      <c r="S192">
        <v>13</v>
      </c>
      <c r="T192" t="s">
        <v>191</v>
      </c>
      <c r="U192">
        <v>69</v>
      </c>
      <c r="V192" t="s">
        <v>192</v>
      </c>
      <c r="W192" s="1" t="s">
        <v>201</v>
      </c>
      <c r="X192" s="18">
        <v>0.59989999999999999</v>
      </c>
      <c r="Y192" s="18">
        <v>0.59989999999999999</v>
      </c>
      <c r="Z192" t="s">
        <v>194</v>
      </c>
      <c r="AA192">
        <v>193830</v>
      </c>
      <c r="AB192">
        <v>31133151</v>
      </c>
      <c r="AC192">
        <v>0</v>
      </c>
      <c r="AD192">
        <v>6394368</v>
      </c>
      <c r="AG192">
        <v>20712950</v>
      </c>
      <c r="AJ192">
        <v>194436</v>
      </c>
      <c r="AK192" t="s">
        <v>195</v>
      </c>
      <c r="AL192" t="s">
        <v>202</v>
      </c>
      <c r="AN192" t="s">
        <v>197</v>
      </c>
      <c r="AO192">
        <v>0.57489999999999997</v>
      </c>
      <c r="AP192">
        <v>121.09409100000001</v>
      </c>
      <c r="AQ192" t="s">
        <v>56</v>
      </c>
      <c r="AR192" t="s">
        <v>198</v>
      </c>
      <c r="AS192" t="s">
        <v>199</v>
      </c>
      <c r="AT192" t="s">
        <v>200</v>
      </c>
    </row>
    <row r="193" spans="1:46" x14ac:dyDescent="0.3">
      <c r="A193">
        <v>3</v>
      </c>
      <c r="B193" s="5">
        <v>46302.413368055553</v>
      </c>
      <c r="C193" s="5">
        <v>46302.455011574071</v>
      </c>
      <c r="D193">
        <v>174679465</v>
      </c>
      <c r="E193">
        <v>2026</v>
      </c>
      <c r="F193">
        <v>10</v>
      </c>
      <c r="G193">
        <v>7</v>
      </c>
      <c r="H193" s="1" t="s">
        <v>184</v>
      </c>
      <c r="I193" t="s">
        <v>185</v>
      </c>
      <c r="J193" t="s">
        <v>186</v>
      </c>
      <c r="K193" t="s">
        <v>187</v>
      </c>
      <c r="L193" t="s">
        <v>188</v>
      </c>
      <c r="M193" t="s">
        <v>189</v>
      </c>
      <c r="N193" t="s">
        <v>190</v>
      </c>
      <c r="O193" s="6">
        <v>888591.53993099998</v>
      </c>
      <c r="P193" s="6">
        <v>-4.4872573990999998</v>
      </c>
      <c r="Q193" s="6">
        <v>-7.4800089999999999</v>
      </c>
      <c r="R193" s="6">
        <v>7.4800089999999999</v>
      </c>
      <c r="S193">
        <v>13</v>
      </c>
      <c r="T193" t="s">
        <v>191</v>
      </c>
      <c r="U193">
        <v>69</v>
      </c>
      <c r="V193" t="s">
        <v>192</v>
      </c>
      <c r="W193" s="1" t="s">
        <v>203</v>
      </c>
      <c r="X193" s="18">
        <v>0.59989999999999999</v>
      </c>
      <c r="Y193" s="18">
        <v>0.59989999999999999</v>
      </c>
      <c r="Z193" t="s">
        <v>194</v>
      </c>
      <c r="AA193">
        <v>193830</v>
      </c>
      <c r="AB193">
        <v>31133264</v>
      </c>
      <c r="AC193">
        <v>0</v>
      </c>
      <c r="AD193">
        <v>6394368</v>
      </c>
      <c r="AG193">
        <v>20871851</v>
      </c>
      <c r="AJ193">
        <v>192817</v>
      </c>
      <c r="AK193" t="s">
        <v>195</v>
      </c>
      <c r="AL193" t="s">
        <v>204</v>
      </c>
      <c r="AN193" t="s">
        <v>197</v>
      </c>
      <c r="AO193">
        <v>0.57489999999999997</v>
      </c>
      <c r="AP193">
        <v>121.080091</v>
      </c>
      <c r="AQ193" t="s">
        <v>54</v>
      </c>
      <c r="AR193" t="s">
        <v>198</v>
      </c>
      <c r="AS193" t="s">
        <v>199</v>
      </c>
      <c r="AT193" t="s">
        <v>200</v>
      </c>
    </row>
    <row r="194" spans="1:46" x14ac:dyDescent="0.3">
      <c r="A194">
        <v>3</v>
      </c>
      <c r="B194" s="5">
        <v>46302.414189814815</v>
      </c>
      <c r="C194" s="5">
        <v>46302.455833333333</v>
      </c>
      <c r="D194">
        <v>174679600</v>
      </c>
      <c r="E194">
        <v>2026</v>
      </c>
      <c r="F194">
        <v>10</v>
      </c>
      <c r="G194">
        <v>7</v>
      </c>
      <c r="H194" s="1" t="s">
        <v>184</v>
      </c>
      <c r="I194" t="s">
        <v>185</v>
      </c>
      <c r="J194" t="s">
        <v>186</v>
      </c>
      <c r="K194" t="s">
        <v>187</v>
      </c>
      <c r="L194" t="s">
        <v>188</v>
      </c>
      <c r="M194" t="s">
        <v>189</v>
      </c>
      <c r="N194" t="s">
        <v>190</v>
      </c>
      <c r="O194" s="6">
        <v>888584.05992200004</v>
      </c>
      <c r="P194" s="6">
        <v>-4.4719893441999998</v>
      </c>
      <c r="Q194" s="6">
        <v>-7.4545579999999996</v>
      </c>
      <c r="R194" s="6">
        <v>7.4545579999999996</v>
      </c>
      <c r="S194">
        <v>13</v>
      </c>
      <c r="T194" t="s">
        <v>191</v>
      </c>
      <c r="U194">
        <v>69</v>
      </c>
      <c r="V194" t="s">
        <v>192</v>
      </c>
      <c r="W194" s="1" t="s">
        <v>201</v>
      </c>
      <c r="X194" s="18">
        <v>0.59989999999999999</v>
      </c>
      <c r="Y194" s="18">
        <v>0.59989999999999999</v>
      </c>
      <c r="Z194" t="s">
        <v>194</v>
      </c>
      <c r="AA194">
        <v>193830</v>
      </c>
      <c r="AB194">
        <v>31133291</v>
      </c>
      <c r="AC194">
        <v>0</v>
      </c>
      <c r="AD194">
        <v>6394368</v>
      </c>
      <c r="AG194">
        <v>20712950</v>
      </c>
      <c r="AJ194">
        <v>194436</v>
      </c>
      <c r="AK194" t="s">
        <v>195</v>
      </c>
      <c r="AL194" t="s">
        <v>202</v>
      </c>
      <c r="AN194" t="s">
        <v>197</v>
      </c>
      <c r="AO194">
        <v>0.57489999999999997</v>
      </c>
      <c r="AP194">
        <v>121.09409100000001</v>
      </c>
      <c r="AQ194" t="s">
        <v>56</v>
      </c>
      <c r="AR194" t="s">
        <v>198</v>
      </c>
      <c r="AS194" t="s">
        <v>199</v>
      </c>
      <c r="AT194" t="s">
        <v>200</v>
      </c>
    </row>
    <row r="195" spans="1:46" x14ac:dyDescent="0.3">
      <c r="A195">
        <v>3</v>
      </c>
      <c r="B195" s="5">
        <v>46302.416180555556</v>
      </c>
      <c r="C195" s="5">
        <v>46302.457824074074</v>
      </c>
      <c r="D195">
        <v>174679895</v>
      </c>
      <c r="E195">
        <v>2026</v>
      </c>
      <c r="F195">
        <v>10</v>
      </c>
      <c r="G195">
        <v>7</v>
      </c>
      <c r="H195" s="1" t="s">
        <v>184</v>
      </c>
      <c r="I195" t="s">
        <v>185</v>
      </c>
      <c r="J195" t="s">
        <v>186</v>
      </c>
      <c r="K195" t="s">
        <v>187</v>
      </c>
      <c r="L195" t="s">
        <v>188</v>
      </c>
      <c r="M195" t="s">
        <v>189</v>
      </c>
      <c r="N195" t="s">
        <v>190</v>
      </c>
      <c r="O195" s="6">
        <v>888576.60536399996</v>
      </c>
      <c r="P195" s="6">
        <v>-5.8914037357</v>
      </c>
      <c r="Q195" s="6">
        <v>-9.8206430000000005</v>
      </c>
      <c r="R195" s="6">
        <v>9.8206430000000005</v>
      </c>
      <c r="S195">
        <v>13</v>
      </c>
      <c r="T195" t="s">
        <v>191</v>
      </c>
      <c r="U195">
        <v>69</v>
      </c>
      <c r="V195" t="s">
        <v>192</v>
      </c>
      <c r="W195" s="1" t="s">
        <v>205</v>
      </c>
      <c r="X195" s="18">
        <v>0.59989999999999999</v>
      </c>
      <c r="Y195" s="18">
        <v>0.59989999999999999</v>
      </c>
      <c r="Z195" t="s">
        <v>194</v>
      </c>
      <c r="AA195">
        <v>193830</v>
      </c>
      <c r="AB195">
        <v>31133336</v>
      </c>
      <c r="AC195">
        <v>0</v>
      </c>
      <c r="AD195">
        <v>6394368</v>
      </c>
      <c r="AG195">
        <v>20969340</v>
      </c>
      <c r="AJ195">
        <v>197576</v>
      </c>
      <c r="AK195" t="s">
        <v>195</v>
      </c>
      <c r="AL195" t="s">
        <v>216</v>
      </c>
      <c r="AN195" t="s">
        <v>197</v>
      </c>
      <c r="AO195">
        <v>0.57489999999999997</v>
      </c>
      <c r="AP195">
        <v>120.04309120000001</v>
      </c>
      <c r="AQ195" t="s">
        <v>39</v>
      </c>
      <c r="AR195" t="s">
        <v>198</v>
      </c>
      <c r="AS195" t="s">
        <v>199</v>
      </c>
      <c r="AT195" t="s">
        <v>200</v>
      </c>
    </row>
    <row r="196" spans="1:46" x14ac:dyDescent="0.3">
      <c r="A196">
        <v>3</v>
      </c>
      <c r="B196" s="5">
        <v>46302.417060185187</v>
      </c>
      <c r="C196" s="5">
        <v>46302.458680555559</v>
      </c>
      <c r="D196">
        <v>174680130</v>
      </c>
      <c r="E196">
        <v>2026</v>
      </c>
      <c r="F196">
        <v>10</v>
      </c>
      <c r="G196">
        <v>7</v>
      </c>
      <c r="H196" s="1" t="s">
        <v>184</v>
      </c>
      <c r="I196" t="s">
        <v>185</v>
      </c>
      <c r="J196" t="s">
        <v>186</v>
      </c>
      <c r="K196" t="s">
        <v>187</v>
      </c>
      <c r="L196" t="s">
        <v>188</v>
      </c>
      <c r="M196" t="s">
        <v>189</v>
      </c>
      <c r="N196" t="s">
        <v>190</v>
      </c>
      <c r="O196" s="6">
        <v>888566.784721</v>
      </c>
      <c r="P196" s="6">
        <v>-5.8914037357</v>
      </c>
      <c r="Q196" s="6">
        <v>-9.8206430000000005</v>
      </c>
      <c r="R196" s="6">
        <v>9.8206430000000005</v>
      </c>
      <c r="S196">
        <v>13</v>
      </c>
      <c r="T196" t="s">
        <v>191</v>
      </c>
      <c r="U196">
        <v>69</v>
      </c>
      <c r="V196" t="s">
        <v>192</v>
      </c>
      <c r="W196" s="1" t="s">
        <v>205</v>
      </c>
      <c r="X196" s="18">
        <v>0.59989999999999999</v>
      </c>
      <c r="Y196" s="18">
        <v>0.59989999999999999</v>
      </c>
      <c r="Z196" t="s">
        <v>194</v>
      </c>
      <c r="AA196">
        <v>193830</v>
      </c>
      <c r="AB196">
        <v>31133365</v>
      </c>
      <c r="AC196">
        <v>0</v>
      </c>
      <c r="AD196">
        <v>6394368</v>
      </c>
      <c r="AG196">
        <v>20969340</v>
      </c>
      <c r="AJ196">
        <v>197576</v>
      </c>
      <c r="AK196" t="s">
        <v>195</v>
      </c>
      <c r="AL196" t="s">
        <v>216</v>
      </c>
      <c r="AN196" t="s">
        <v>197</v>
      </c>
      <c r="AO196">
        <v>0.57489999999999997</v>
      </c>
      <c r="AP196">
        <v>120.04309120000001</v>
      </c>
      <c r="AQ196" t="s">
        <v>39</v>
      </c>
      <c r="AR196" t="s">
        <v>198</v>
      </c>
      <c r="AS196" t="s">
        <v>199</v>
      </c>
      <c r="AT196" t="s">
        <v>200</v>
      </c>
    </row>
    <row r="197" spans="1:46" x14ac:dyDescent="0.3">
      <c r="A197">
        <v>3</v>
      </c>
      <c r="B197" s="5">
        <v>46302.417256944442</v>
      </c>
      <c r="C197" s="5">
        <v>46302.45890046296</v>
      </c>
      <c r="D197">
        <v>174680192</v>
      </c>
      <c r="E197">
        <v>2026</v>
      </c>
      <c r="F197">
        <v>10</v>
      </c>
      <c r="G197">
        <v>7</v>
      </c>
      <c r="H197" s="1" t="s">
        <v>184</v>
      </c>
      <c r="I197" t="s">
        <v>185</v>
      </c>
      <c r="J197" t="s">
        <v>186</v>
      </c>
      <c r="K197" t="s">
        <v>187</v>
      </c>
      <c r="L197" t="s">
        <v>188</v>
      </c>
      <c r="M197" t="s">
        <v>189</v>
      </c>
      <c r="N197" t="s">
        <v>190</v>
      </c>
      <c r="O197" s="6">
        <v>888556.96407800005</v>
      </c>
      <c r="P197" s="6">
        <v>-4.4719893441999998</v>
      </c>
      <c r="Q197" s="6">
        <v>-7.4545579999999996</v>
      </c>
      <c r="R197" s="6">
        <v>7.4545579999999996</v>
      </c>
      <c r="S197">
        <v>13</v>
      </c>
      <c r="T197" t="s">
        <v>191</v>
      </c>
      <c r="U197">
        <v>69</v>
      </c>
      <c r="V197" t="s">
        <v>192</v>
      </c>
      <c r="W197" s="1" t="s">
        <v>201</v>
      </c>
      <c r="X197" s="18">
        <v>0.59989999999999999</v>
      </c>
      <c r="Y197" s="18">
        <v>0.59989999999999999</v>
      </c>
      <c r="Z197" t="s">
        <v>194</v>
      </c>
      <c r="AA197">
        <v>193830</v>
      </c>
      <c r="AB197">
        <v>31133375</v>
      </c>
      <c r="AC197">
        <v>0</v>
      </c>
      <c r="AD197">
        <v>6394368</v>
      </c>
      <c r="AG197">
        <v>20712950</v>
      </c>
      <c r="AJ197">
        <v>194436</v>
      </c>
      <c r="AK197" t="s">
        <v>195</v>
      </c>
      <c r="AL197" t="s">
        <v>202</v>
      </c>
      <c r="AN197" t="s">
        <v>197</v>
      </c>
      <c r="AO197">
        <v>0.57489999999999997</v>
      </c>
      <c r="AP197">
        <v>121.09409100000001</v>
      </c>
      <c r="AQ197" t="s">
        <v>56</v>
      </c>
      <c r="AR197" t="s">
        <v>198</v>
      </c>
      <c r="AS197" t="s">
        <v>199</v>
      </c>
      <c r="AT197" t="s">
        <v>200</v>
      </c>
    </row>
    <row r="198" spans="1:46" x14ac:dyDescent="0.3">
      <c r="A198">
        <v>3</v>
      </c>
      <c r="B198" s="5">
        <v>46302.419722222221</v>
      </c>
      <c r="C198" s="5">
        <v>46302.461365740739</v>
      </c>
      <c r="D198">
        <v>174680529</v>
      </c>
      <c r="E198">
        <v>2026</v>
      </c>
      <c r="F198">
        <v>10</v>
      </c>
      <c r="G198">
        <v>7</v>
      </c>
      <c r="H198" s="1" t="s">
        <v>184</v>
      </c>
      <c r="I198" t="s">
        <v>185</v>
      </c>
      <c r="J198" t="s">
        <v>186</v>
      </c>
      <c r="K198" t="s">
        <v>187</v>
      </c>
      <c r="L198" t="s">
        <v>188</v>
      </c>
      <c r="M198" t="s">
        <v>189</v>
      </c>
      <c r="N198" t="s">
        <v>190</v>
      </c>
      <c r="O198" s="6">
        <v>888549.50951999996</v>
      </c>
      <c r="P198" s="6">
        <v>-4.4872573990999998</v>
      </c>
      <c r="Q198" s="6">
        <v>-7.4800089999999999</v>
      </c>
      <c r="R198" s="6">
        <v>7.4800089999999999</v>
      </c>
      <c r="S198">
        <v>13</v>
      </c>
      <c r="T198" t="s">
        <v>191</v>
      </c>
      <c r="U198">
        <v>69</v>
      </c>
      <c r="V198" t="s">
        <v>192</v>
      </c>
      <c r="W198" s="1" t="s">
        <v>203</v>
      </c>
      <c r="X198" s="18">
        <v>0.59989999999999999</v>
      </c>
      <c r="Y198" s="18">
        <v>0.59989999999999999</v>
      </c>
      <c r="Z198" t="s">
        <v>194</v>
      </c>
      <c r="AA198">
        <v>193830</v>
      </c>
      <c r="AB198">
        <v>31133438</v>
      </c>
      <c r="AC198">
        <v>0</v>
      </c>
      <c r="AD198">
        <v>6394368</v>
      </c>
      <c r="AG198">
        <v>20871851</v>
      </c>
      <c r="AJ198">
        <v>192817</v>
      </c>
      <c r="AK198" t="s">
        <v>195</v>
      </c>
      <c r="AL198" t="s">
        <v>204</v>
      </c>
      <c r="AN198" t="s">
        <v>197</v>
      </c>
      <c r="AO198">
        <v>0.57489999999999997</v>
      </c>
      <c r="AP198">
        <v>121.080091</v>
      </c>
      <c r="AQ198" t="s">
        <v>54</v>
      </c>
      <c r="AR198" t="s">
        <v>198</v>
      </c>
      <c r="AS198" t="s">
        <v>199</v>
      </c>
      <c r="AT198" t="s">
        <v>200</v>
      </c>
    </row>
    <row r="199" spans="1:46" x14ac:dyDescent="0.3">
      <c r="A199">
        <v>3</v>
      </c>
      <c r="B199" s="5">
        <v>46302.420659722222</v>
      </c>
      <c r="C199" s="5">
        <v>46302.462314814817</v>
      </c>
      <c r="D199">
        <v>174680682</v>
      </c>
      <c r="E199">
        <v>2026</v>
      </c>
      <c r="F199">
        <v>10</v>
      </c>
      <c r="G199">
        <v>7</v>
      </c>
      <c r="H199" s="1" t="s">
        <v>184</v>
      </c>
      <c r="I199" t="s">
        <v>185</v>
      </c>
      <c r="J199" t="s">
        <v>186</v>
      </c>
      <c r="K199" t="s">
        <v>187</v>
      </c>
      <c r="L199" t="s">
        <v>188</v>
      </c>
      <c r="M199" t="s">
        <v>189</v>
      </c>
      <c r="N199" t="s">
        <v>190</v>
      </c>
      <c r="O199" s="6">
        <v>888542.02951100003</v>
      </c>
      <c r="P199" s="6">
        <v>-4.4872573990999998</v>
      </c>
      <c r="Q199" s="6">
        <v>-7.4800089999999999</v>
      </c>
      <c r="R199" s="6">
        <v>7.4800089999999999</v>
      </c>
      <c r="S199">
        <v>13</v>
      </c>
      <c r="T199" t="s">
        <v>191</v>
      </c>
      <c r="U199">
        <v>69</v>
      </c>
      <c r="V199" t="s">
        <v>192</v>
      </c>
      <c r="W199" s="1" t="s">
        <v>203</v>
      </c>
      <c r="X199" s="18">
        <v>0.59989999999999999</v>
      </c>
      <c r="Y199" s="18">
        <v>0.59989999999999999</v>
      </c>
      <c r="Z199" t="s">
        <v>194</v>
      </c>
      <c r="AA199">
        <v>193830</v>
      </c>
      <c r="AB199">
        <v>31133454</v>
      </c>
      <c r="AC199">
        <v>0</v>
      </c>
      <c r="AD199">
        <v>6394368</v>
      </c>
      <c r="AG199">
        <v>20871851</v>
      </c>
      <c r="AJ199">
        <v>192817</v>
      </c>
      <c r="AK199" t="s">
        <v>195</v>
      </c>
      <c r="AL199" t="s">
        <v>204</v>
      </c>
      <c r="AN199" t="s">
        <v>197</v>
      </c>
      <c r="AO199">
        <v>0.57489999999999997</v>
      </c>
      <c r="AP199">
        <v>121.080091</v>
      </c>
      <c r="AQ199" t="s">
        <v>54</v>
      </c>
      <c r="AR199" t="s">
        <v>198</v>
      </c>
      <c r="AS199" t="s">
        <v>199</v>
      </c>
      <c r="AT199" t="s">
        <v>200</v>
      </c>
    </row>
    <row r="200" spans="1:46" x14ac:dyDescent="0.3">
      <c r="A200">
        <v>3</v>
      </c>
      <c r="B200" s="5">
        <v>46302.420682870368</v>
      </c>
      <c r="C200" s="5">
        <v>46302.462326388886</v>
      </c>
      <c r="D200">
        <v>174680695</v>
      </c>
      <c r="E200">
        <v>2026</v>
      </c>
      <c r="F200">
        <v>10</v>
      </c>
      <c r="G200">
        <v>7</v>
      </c>
      <c r="H200" s="1" t="s">
        <v>184</v>
      </c>
      <c r="I200" t="s">
        <v>185</v>
      </c>
      <c r="J200" t="s">
        <v>186</v>
      </c>
      <c r="K200" t="s">
        <v>187</v>
      </c>
      <c r="L200" t="s">
        <v>188</v>
      </c>
      <c r="M200" t="s">
        <v>189</v>
      </c>
      <c r="N200" t="s">
        <v>190</v>
      </c>
      <c r="O200" s="6">
        <v>888534.54950199998</v>
      </c>
      <c r="P200" s="6">
        <v>-4.4719893441999998</v>
      </c>
      <c r="Q200" s="6">
        <v>-7.4545579999999996</v>
      </c>
      <c r="R200" s="6">
        <v>7.4545579999999996</v>
      </c>
      <c r="S200">
        <v>13</v>
      </c>
      <c r="T200" t="s">
        <v>191</v>
      </c>
      <c r="U200">
        <v>69</v>
      </c>
      <c r="V200" t="s">
        <v>192</v>
      </c>
      <c r="W200" s="1" t="s">
        <v>201</v>
      </c>
      <c r="X200" s="18">
        <v>0.59989999999999999</v>
      </c>
      <c r="Y200" s="18">
        <v>0.59989999999999999</v>
      </c>
      <c r="Z200" t="s">
        <v>194</v>
      </c>
      <c r="AA200">
        <v>193830</v>
      </c>
      <c r="AB200">
        <v>31133455</v>
      </c>
      <c r="AC200">
        <v>0</v>
      </c>
      <c r="AD200">
        <v>6394368</v>
      </c>
      <c r="AG200">
        <v>20712950</v>
      </c>
      <c r="AJ200">
        <v>194436</v>
      </c>
      <c r="AK200" t="s">
        <v>195</v>
      </c>
      <c r="AL200" t="s">
        <v>202</v>
      </c>
      <c r="AN200" t="s">
        <v>197</v>
      </c>
      <c r="AO200">
        <v>0.57489999999999997</v>
      </c>
      <c r="AP200">
        <v>121.09409100000001</v>
      </c>
      <c r="AQ200" t="s">
        <v>56</v>
      </c>
      <c r="AR200" t="s">
        <v>198</v>
      </c>
      <c r="AS200" t="s">
        <v>199</v>
      </c>
      <c r="AT200" t="s">
        <v>200</v>
      </c>
    </row>
    <row r="201" spans="1:46" x14ac:dyDescent="0.3">
      <c r="A201">
        <v>3</v>
      </c>
      <c r="B201" s="5">
        <v>46302.42119212963</v>
      </c>
      <c r="C201" s="5">
        <v>46302.462835648148</v>
      </c>
      <c r="D201">
        <v>174680862</v>
      </c>
      <c r="E201">
        <v>2026</v>
      </c>
      <c r="F201">
        <v>10</v>
      </c>
      <c r="G201">
        <v>7</v>
      </c>
      <c r="H201" s="1" t="s">
        <v>184</v>
      </c>
      <c r="I201" t="s">
        <v>185</v>
      </c>
      <c r="J201" t="s">
        <v>186</v>
      </c>
      <c r="K201" t="s">
        <v>187</v>
      </c>
      <c r="L201" t="s">
        <v>188</v>
      </c>
      <c r="M201" t="s">
        <v>189</v>
      </c>
      <c r="N201" t="s">
        <v>190</v>
      </c>
      <c r="O201" s="6">
        <v>888527.09494400001</v>
      </c>
      <c r="P201" s="6">
        <v>-4.4872573990999998</v>
      </c>
      <c r="Q201" s="6">
        <v>-7.4800089999999999</v>
      </c>
      <c r="R201" s="6">
        <v>7.4800089999999999</v>
      </c>
      <c r="S201">
        <v>13</v>
      </c>
      <c r="T201" t="s">
        <v>191</v>
      </c>
      <c r="U201">
        <v>69</v>
      </c>
      <c r="V201" t="s">
        <v>192</v>
      </c>
      <c r="W201" s="1" t="s">
        <v>203</v>
      </c>
      <c r="X201" s="18">
        <v>0.59989999999999999</v>
      </c>
      <c r="Y201" s="18">
        <v>0.59989999999999999</v>
      </c>
      <c r="Z201" t="s">
        <v>194</v>
      </c>
      <c r="AA201">
        <v>193830</v>
      </c>
      <c r="AB201">
        <v>31133472</v>
      </c>
      <c r="AC201">
        <v>0</v>
      </c>
      <c r="AD201">
        <v>6394368</v>
      </c>
      <c r="AG201">
        <v>20871851</v>
      </c>
      <c r="AJ201">
        <v>192817</v>
      </c>
      <c r="AK201" t="s">
        <v>195</v>
      </c>
      <c r="AL201" t="s">
        <v>204</v>
      </c>
      <c r="AN201" t="s">
        <v>197</v>
      </c>
      <c r="AO201">
        <v>0.57489999999999997</v>
      </c>
      <c r="AP201">
        <v>121.080091</v>
      </c>
      <c r="AQ201" t="s">
        <v>54</v>
      </c>
      <c r="AR201" t="s">
        <v>198</v>
      </c>
      <c r="AS201" t="s">
        <v>199</v>
      </c>
      <c r="AT201" t="s">
        <v>200</v>
      </c>
    </row>
    <row r="202" spans="1:46" x14ac:dyDescent="0.3">
      <c r="A202">
        <v>3</v>
      </c>
      <c r="B202" s="5">
        <v>46302.421585648146</v>
      </c>
      <c r="C202" s="5">
        <v>46302.463229166664</v>
      </c>
      <c r="D202">
        <v>174680911</v>
      </c>
      <c r="E202">
        <v>2026</v>
      </c>
      <c r="F202">
        <v>10</v>
      </c>
      <c r="G202">
        <v>7</v>
      </c>
      <c r="H202" s="1" t="s">
        <v>184</v>
      </c>
      <c r="I202" t="s">
        <v>185</v>
      </c>
      <c r="J202" t="s">
        <v>186</v>
      </c>
      <c r="K202" t="s">
        <v>187</v>
      </c>
      <c r="L202" t="s">
        <v>188</v>
      </c>
      <c r="M202" t="s">
        <v>189</v>
      </c>
      <c r="N202" t="s">
        <v>190</v>
      </c>
      <c r="O202" s="6">
        <v>888519.61493499996</v>
      </c>
      <c r="P202" s="6">
        <v>-4.4872573990999998</v>
      </c>
      <c r="Q202" s="6">
        <v>-7.4800089999999999</v>
      </c>
      <c r="R202" s="6">
        <v>7.4800089999999999</v>
      </c>
      <c r="S202">
        <v>13</v>
      </c>
      <c r="T202" t="s">
        <v>191</v>
      </c>
      <c r="U202">
        <v>69</v>
      </c>
      <c r="V202" t="s">
        <v>192</v>
      </c>
      <c r="W202" s="1" t="s">
        <v>203</v>
      </c>
      <c r="X202" s="18">
        <v>0.59989999999999999</v>
      </c>
      <c r="Y202" s="18">
        <v>0.59989999999999999</v>
      </c>
      <c r="Z202" t="s">
        <v>194</v>
      </c>
      <c r="AA202">
        <v>193830</v>
      </c>
      <c r="AB202">
        <v>31133484</v>
      </c>
      <c r="AC202">
        <v>0</v>
      </c>
      <c r="AD202">
        <v>6394368</v>
      </c>
      <c r="AG202">
        <v>20871851</v>
      </c>
      <c r="AJ202">
        <v>192817</v>
      </c>
      <c r="AK202" t="s">
        <v>195</v>
      </c>
      <c r="AL202" t="s">
        <v>204</v>
      </c>
      <c r="AN202" t="s">
        <v>197</v>
      </c>
      <c r="AO202">
        <v>0.57489999999999997</v>
      </c>
      <c r="AP202">
        <v>121.080091</v>
      </c>
      <c r="AQ202" t="s">
        <v>54</v>
      </c>
      <c r="AR202" t="s">
        <v>198</v>
      </c>
      <c r="AS202" t="s">
        <v>199</v>
      </c>
      <c r="AT202" t="s">
        <v>200</v>
      </c>
    </row>
    <row r="203" spans="1:46" x14ac:dyDescent="0.3">
      <c r="A203">
        <v>3</v>
      </c>
      <c r="B203" s="5">
        <v>46302.422164351854</v>
      </c>
      <c r="C203" s="5">
        <v>46302.463807870372</v>
      </c>
      <c r="D203">
        <v>174680988</v>
      </c>
      <c r="E203">
        <v>2026</v>
      </c>
      <c r="F203">
        <v>10</v>
      </c>
      <c r="G203">
        <v>7</v>
      </c>
      <c r="H203" s="1" t="s">
        <v>184</v>
      </c>
      <c r="I203" t="s">
        <v>185</v>
      </c>
      <c r="J203" t="s">
        <v>186</v>
      </c>
      <c r="K203" t="s">
        <v>187</v>
      </c>
      <c r="L203" t="s">
        <v>188</v>
      </c>
      <c r="M203" t="s">
        <v>189</v>
      </c>
      <c r="N203" t="s">
        <v>190</v>
      </c>
      <c r="O203" s="6">
        <v>888512.13492600003</v>
      </c>
      <c r="P203" s="6">
        <v>-4.4872573990999998</v>
      </c>
      <c r="Q203" s="6">
        <v>-7.4800089999999999</v>
      </c>
      <c r="R203" s="6">
        <v>7.4800089999999999</v>
      </c>
      <c r="S203">
        <v>13</v>
      </c>
      <c r="T203" t="s">
        <v>191</v>
      </c>
      <c r="U203">
        <v>69</v>
      </c>
      <c r="V203" t="s">
        <v>192</v>
      </c>
      <c r="W203" s="1" t="s">
        <v>203</v>
      </c>
      <c r="X203" s="18">
        <v>0.59989999999999999</v>
      </c>
      <c r="Y203" s="18">
        <v>0.59989999999999999</v>
      </c>
      <c r="Z203" t="s">
        <v>194</v>
      </c>
      <c r="AA203">
        <v>193830</v>
      </c>
      <c r="AB203">
        <v>31133495</v>
      </c>
      <c r="AC203">
        <v>0</v>
      </c>
      <c r="AD203">
        <v>6394368</v>
      </c>
      <c r="AG203">
        <v>20871851</v>
      </c>
      <c r="AJ203">
        <v>192817</v>
      </c>
      <c r="AK203" t="s">
        <v>195</v>
      </c>
      <c r="AL203" t="s">
        <v>204</v>
      </c>
      <c r="AN203" t="s">
        <v>197</v>
      </c>
      <c r="AO203">
        <v>0.57489999999999997</v>
      </c>
      <c r="AP203">
        <v>121.080091</v>
      </c>
      <c r="AQ203" t="s">
        <v>54</v>
      </c>
      <c r="AR203" t="s">
        <v>198</v>
      </c>
      <c r="AS203" t="s">
        <v>199</v>
      </c>
      <c r="AT203" t="s">
        <v>200</v>
      </c>
    </row>
    <row r="204" spans="1:46" x14ac:dyDescent="0.3">
      <c r="A204">
        <v>3</v>
      </c>
      <c r="B204" s="5">
        <v>46302.423020833332</v>
      </c>
      <c r="C204" s="5">
        <v>46302.464675925927</v>
      </c>
      <c r="D204">
        <v>174681151</v>
      </c>
      <c r="E204">
        <v>2026</v>
      </c>
      <c r="F204">
        <v>10</v>
      </c>
      <c r="G204">
        <v>7</v>
      </c>
      <c r="H204" s="1" t="s">
        <v>184</v>
      </c>
      <c r="I204" t="s">
        <v>185</v>
      </c>
      <c r="J204" t="s">
        <v>186</v>
      </c>
      <c r="K204" t="s">
        <v>187</v>
      </c>
      <c r="L204" t="s">
        <v>188</v>
      </c>
      <c r="M204" t="s">
        <v>189</v>
      </c>
      <c r="N204" t="s">
        <v>190</v>
      </c>
      <c r="O204" s="6">
        <v>888504.65491699998</v>
      </c>
      <c r="P204" s="6">
        <v>-4.4719893441999998</v>
      </c>
      <c r="Q204" s="6">
        <v>-7.4545579999999996</v>
      </c>
      <c r="R204" s="6">
        <v>7.4545579999999996</v>
      </c>
      <c r="S204">
        <v>13</v>
      </c>
      <c r="T204" t="s">
        <v>191</v>
      </c>
      <c r="U204">
        <v>69</v>
      </c>
      <c r="V204" t="s">
        <v>192</v>
      </c>
      <c r="W204" s="1" t="s">
        <v>201</v>
      </c>
      <c r="X204" s="18">
        <v>0.59989999999999999</v>
      </c>
      <c r="Y204" s="18">
        <v>0.59989999999999999</v>
      </c>
      <c r="Z204" t="s">
        <v>194</v>
      </c>
      <c r="AA204">
        <v>193830</v>
      </c>
      <c r="AB204">
        <v>31133540</v>
      </c>
      <c r="AC204">
        <v>0</v>
      </c>
      <c r="AD204">
        <v>6394368</v>
      </c>
      <c r="AG204">
        <v>20712950</v>
      </c>
      <c r="AJ204">
        <v>194436</v>
      </c>
      <c r="AK204" t="s">
        <v>195</v>
      </c>
      <c r="AL204" t="s">
        <v>202</v>
      </c>
      <c r="AN204" t="s">
        <v>197</v>
      </c>
      <c r="AO204">
        <v>0.57489999999999997</v>
      </c>
      <c r="AP204">
        <v>121.09409100000001</v>
      </c>
      <c r="AQ204" t="s">
        <v>56</v>
      </c>
      <c r="AR204" t="s">
        <v>198</v>
      </c>
      <c r="AS204" t="s">
        <v>199</v>
      </c>
      <c r="AT204" t="s">
        <v>200</v>
      </c>
    </row>
    <row r="205" spans="1:46" x14ac:dyDescent="0.3">
      <c r="A205">
        <v>3</v>
      </c>
      <c r="B205" s="5">
        <v>46302.424016203702</v>
      </c>
      <c r="C205" s="5">
        <v>46302.46565972222</v>
      </c>
      <c r="D205">
        <v>174681342</v>
      </c>
      <c r="E205">
        <v>2026</v>
      </c>
      <c r="F205">
        <v>10</v>
      </c>
      <c r="G205">
        <v>7</v>
      </c>
      <c r="H205" s="1" t="s">
        <v>184</v>
      </c>
      <c r="I205" t="s">
        <v>185</v>
      </c>
      <c r="J205" t="s">
        <v>186</v>
      </c>
      <c r="K205" t="s">
        <v>187</v>
      </c>
      <c r="L205" t="s">
        <v>188</v>
      </c>
      <c r="M205" t="s">
        <v>189</v>
      </c>
      <c r="N205" t="s">
        <v>190</v>
      </c>
      <c r="O205" s="6">
        <v>888497.20035900001</v>
      </c>
      <c r="P205" s="6">
        <v>-4.4872573990999998</v>
      </c>
      <c r="Q205" s="6">
        <v>-7.4800089999999999</v>
      </c>
      <c r="R205" s="6">
        <v>7.4800089999999999</v>
      </c>
      <c r="S205">
        <v>13</v>
      </c>
      <c r="T205" t="s">
        <v>191</v>
      </c>
      <c r="U205">
        <v>69</v>
      </c>
      <c r="V205" t="s">
        <v>192</v>
      </c>
      <c r="W205" s="1" t="s">
        <v>203</v>
      </c>
      <c r="X205" s="18">
        <v>0.59989999999999999</v>
      </c>
      <c r="Y205" s="18">
        <v>0.59989999999999999</v>
      </c>
      <c r="Z205" t="s">
        <v>194</v>
      </c>
      <c r="AA205">
        <v>193830</v>
      </c>
      <c r="AB205">
        <v>31133559</v>
      </c>
      <c r="AC205">
        <v>0</v>
      </c>
      <c r="AD205">
        <v>6394368</v>
      </c>
      <c r="AG205">
        <v>20871851</v>
      </c>
      <c r="AJ205">
        <v>192817</v>
      </c>
      <c r="AK205" t="s">
        <v>195</v>
      </c>
      <c r="AL205" t="s">
        <v>204</v>
      </c>
      <c r="AN205" t="s">
        <v>197</v>
      </c>
      <c r="AO205">
        <v>0.57489999999999997</v>
      </c>
      <c r="AP205">
        <v>121.080091</v>
      </c>
      <c r="AQ205" t="s">
        <v>54</v>
      </c>
      <c r="AR205" t="s">
        <v>198</v>
      </c>
      <c r="AS205" t="s">
        <v>199</v>
      </c>
      <c r="AT205" t="s">
        <v>200</v>
      </c>
    </row>
    <row r="206" spans="1:46" x14ac:dyDescent="0.3">
      <c r="A206">
        <v>3</v>
      </c>
      <c r="B206" s="5">
        <v>46302.428148148145</v>
      </c>
      <c r="C206" s="5">
        <v>46302.46980324074</v>
      </c>
      <c r="D206">
        <v>174682145</v>
      </c>
      <c r="E206">
        <v>2026</v>
      </c>
      <c r="F206">
        <v>10</v>
      </c>
      <c r="G206">
        <v>7</v>
      </c>
      <c r="H206" s="1" t="s">
        <v>184</v>
      </c>
      <c r="I206" t="s">
        <v>185</v>
      </c>
      <c r="J206" t="s">
        <v>186</v>
      </c>
      <c r="K206" t="s">
        <v>187</v>
      </c>
      <c r="L206" t="s">
        <v>188</v>
      </c>
      <c r="M206" t="s">
        <v>189</v>
      </c>
      <c r="N206" t="s">
        <v>190</v>
      </c>
      <c r="O206" s="6">
        <v>888489.72034999996</v>
      </c>
      <c r="P206" s="6">
        <v>-4.4719893441999998</v>
      </c>
      <c r="Q206" s="6">
        <v>-7.4545579999999996</v>
      </c>
      <c r="R206" s="6">
        <v>7.4545579999999996</v>
      </c>
      <c r="S206">
        <v>13</v>
      </c>
      <c r="T206" t="s">
        <v>191</v>
      </c>
      <c r="U206">
        <v>69</v>
      </c>
      <c r="V206" t="s">
        <v>192</v>
      </c>
      <c r="W206" s="1" t="s">
        <v>201</v>
      </c>
      <c r="X206" s="18">
        <v>0.59989999999999999</v>
      </c>
      <c r="Y206" s="18">
        <v>0.59989999999999999</v>
      </c>
      <c r="Z206" t="s">
        <v>194</v>
      </c>
      <c r="AA206">
        <v>193830</v>
      </c>
      <c r="AB206">
        <v>31133689</v>
      </c>
      <c r="AC206">
        <v>0</v>
      </c>
      <c r="AD206">
        <v>6394368</v>
      </c>
      <c r="AG206">
        <v>20712950</v>
      </c>
      <c r="AJ206">
        <v>194436</v>
      </c>
      <c r="AK206" t="s">
        <v>195</v>
      </c>
      <c r="AL206" t="s">
        <v>202</v>
      </c>
      <c r="AN206" t="s">
        <v>197</v>
      </c>
      <c r="AO206">
        <v>0.57489999999999997</v>
      </c>
      <c r="AP206">
        <v>121.09409100000001</v>
      </c>
      <c r="AQ206" t="s">
        <v>56</v>
      </c>
      <c r="AR206" t="s">
        <v>198</v>
      </c>
      <c r="AS206" t="s">
        <v>199</v>
      </c>
      <c r="AT206" t="s">
        <v>200</v>
      </c>
    </row>
    <row r="207" spans="1:46" x14ac:dyDescent="0.3">
      <c r="A207">
        <v>3</v>
      </c>
      <c r="B207" s="5">
        <v>46302.428553240738</v>
      </c>
      <c r="C207" s="5">
        <v>46302.470208333332</v>
      </c>
      <c r="D207">
        <v>174682222</v>
      </c>
      <c r="E207">
        <v>2026</v>
      </c>
      <c r="F207">
        <v>10</v>
      </c>
      <c r="G207">
        <v>7</v>
      </c>
      <c r="H207" s="1" t="s">
        <v>184</v>
      </c>
      <c r="I207" t="s">
        <v>185</v>
      </c>
      <c r="J207" t="s">
        <v>186</v>
      </c>
      <c r="K207" t="s">
        <v>187</v>
      </c>
      <c r="L207" t="s">
        <v>188</v>
      </c>
      <c r="M207" t="s">
        <v>189</v>
      </c>
      <c r="N207" t="s">
        <v>190</v>
      </c>
      <c r="O207" s="6">
        <v>888482.26579199999</v>
      </c>
      <c r="P207" s="6">
        <v>-5.8914037357</v>
      </c>
      <c r="Q207" s="6">
        <v>-9.8206430000000005</v>
      </c>
      <c r="R207" s="6">
        <v>9.8206430000000005</v>
      </c>
      <c r="S207">
        <v>13</v>
      </c>
      <c r="T207" t="s">
        <v>191</v>
      </c>
      <c r="U207">
        <v>69</v>
      </c>
      <c r="V207" t="s">
        <v>192</v>
      </c>
      <c r="W207" s="1" t="s">
        <v>205</v>
      </c>
      <c r="X207" s="18">
        <v>0.59989999999999999</v>
      </c>
      <c r="Y207" s="18">
        <v>0.59989999999999999</v>
      </c>
      <c r="Z207" t="s">
        <v>194</v>
      </c>
      <c r="AA207">
        <v>193830</v>
      </c>
      <c r="AB207">
        <v>31133702</v>
      </c>
      <c r="AC207">
        <v>0</v>
      </c>
      <c r="AD207">
        <v>6394368</v>
      </c>
      <c r="AG207">
        <v>20969340</v>
      </c>
      <c r="AJ207">
        <v>197576</v>
      </c>
      <c r="AK207" t="s">
        <v>195</v>
      </c>
      <c r="AL207" t="s">
        <v>216</v>
      </c>
      <c r="AN207" t="s">
        <v>197</v>
      </c>
      <c r="AO207">
        <v>0.57489999999999997</v>
      </c>
      <c r="AP207">
        <v>120.04309120000001</v>
      </c>
      <c r="AQ207" t="s">
        <v>39</v>
      </c>
      <c r="AR207" t="s">
        <v>198</v>
      </c>
      <c r="AS207" t="s">
        <v>199</v>
      </c>
      <c r="AT207" t="s">
        <v>200</v>
      </c>
    </row>
    <row r="208" spans="1:46" x14ac:dyDescent="0.3">
      <c r="A208">
        <v>3</v>
      </c>
      <c r="B208" s="5">
        <v>46302.429016203707</v>
      </c>
      <c r="C208" s="5">
        <v>46302.470671296294</v>
      </c>
      <c r="D208">
        <v>174682288</v>
      </c>
      <c r="E208">
        <v>2026</v>
      </c>
      <c r="F208">
        <v>10</v>
      </c>
      <c r="G208">
        <v>7</v>
      </c>
      <c r="H208" s="1" t="s">
        <v>184</v>
      </c>
      <c r="I208" t="s">
        <v>185</v>
      </c>
      <c r="J208" t="s">
        <v>186</v>
      </c>
      <c r="K208" t="s">
        <v>187</v>
      </c>
      <c r="L208" t="s">
        <v>188</v>
      </c>
      <c r="M208" t="s">
        <v>189</v>
      </c>
      <c r="N208" t="s">
        <v>190</v>
      </c>
      <c r="O208" s="6">
        <v>888472.44514900004</v>
      </c>
      <c r="P208" s="6">
        <v>-5.8914037357</v>
      </c>
      <c r="Q208" s="6">
        <v>-9.8206430000000005</v>
      </c>
      <c r="R208" s="6">
        <v>9.8206430000000005</v>
      </c>
      <c r="S208">
        <v>13</v>
      </c>
      <c r="T208" t="s">
        <v>191</v>
      </c>
      <c r="U208">
        <v>69</v>
      </c>
      <c r="V208" t="s">
        <v>192</v>
      </c>
      <c r="W208" s="1" t="s">
        <v>205</v>
      </c>
      <c r="X208" s="18">
        <v>0.59989999999999999</v>
      </c>
      <c r="Y208" s="18">
        <v>0.59989999999999999</v>
      </c>
      <c r="Z208" t="s">
        <v>194</v>
      </c>
      <c r="AA208">
        <v>193830</v>
      </c>
      <c r="AB208">
        <v>31133709</v>
      </c>
      <c r="AC208">
        <v>0</v>
      </c>
      <c r="AD208">
        <v>6394368</v>
      </c>
      <c r="AG208">
        <v>20969340</v>
      </c>
      <c r="AJ208">
        <v>197576</v>
      </c>
      <c r="AK208" t="s">
        <v>195</v>
      </c>
      <c r="AL208" t="s">
        <v>216</v>
      </c>
      <c r="AN208" t="s">
        <v>197</v>
      </c>
      <c r="AO208">
        <v>0.57489999999999997</v>
      </c>
      <c r="AP208">
        <v>120.04309120000001</v>
      </c>
      <c r="AQ208" t="s">
        <v>39</v>
      </c>
      <c r="AR208" t="s">
        <v>198</v>
      </c>
      <c r="AS208" t="s">
        <v>199</v>
      </c>
      <c r="AT208" t="s">
        <v>200</v>
      </c>
    </row>
    <row r="209" spans="1:46" x14ac:dyDescent="0.3">
      <c r="A209">
        <v>3</v>
      </c>
      <c r="B209" s="5">
        <v>46302.430069444446</v>
      </c>
      <c r="C209" s="5">
        <v>46302.471712962964</v>
      </c>
      <c r="D209">
        <v>174682481</v>
      </c>
      <c r="E209">
        <v>2026</v>
      </c>
      <c r="F209">
        <v>10</v>
      </c>
      <c r="G209">
        <v>7</v>
      </c>
      <c r="H209" s="1" t="s">
        <v>184</v>
      </c>
      <c r="I209" t="s">
        <v>185</v>
      </c>
      <c r="J209" t="s">
        <v>186</v>
      </c>
      <c r="K209" t="s">
        <v>187</v>
      </c>
      <c r="L209" t="s">
        <v>188</v>
      </c>
      <c r="M209" t="s">
        <v>189</v>
      </c>
      <c r="N209" t="s">
        <v>190</v>
      </c>
      <c r="O209" s="6">
        <v>888462.62450599996</v>
      </c>
      <c r="P209" s="6">
        <v>-5.8914037357</v>
      </c>
      <c r="Q209" s="6">
        <v>-9.8206430000000005</v>
      </c>
      <c r="R209" s="6">
        <v>9.8206430000000005</v>
      </c>
      <c r="S209">
        <v>13</v>
      </c>
      <c r="T209" t="s">
        <v>191</v>
      </c>
      <c r="U209">
        <v>69</v>
      </c>
      <c r="V209" t="s">
        <v>192</v>
      </c>
      <c r="W209" s="1" t="s">
        <v>205</v>
      </c>
      <c r="X209" s="18">
        <v>0.59989999999999999</v>
      </c>
      <c r="Y209" s="18">
        <v>0.59989999999999999</v>
      </c>
      <c r="Z209" t="s">
        <v>194</v>
      </c>
      <c r="AA209">
        <v>193830</v>
      </c>
      <c r="AB209">
        <v>31133733</v>
      </c>
      <c r="AC209">
        <v>0</v>
      </c>
      <c r="AD209">
        <v>6394368</v>
      </c>
      <c r="AG209">
        <v>20969340</v>
      </c>
      <c r="AJ209">
        <v>197576</v>
      </c>
      <c r="AK209" t="s">
        <v>195</v>
      </c>
      <c r="AL209" t="s">
        <v>216</v>
      </c>
      <c r="AN209" t="s">
        <v>197</v>
      </c>
      <c r="AO209">
        <v>0.57489999999999997</v>
      </c>
      <c r="AP209">
        <v>120.04309120000001</v>
      </c>
      <c r="AQ209" t="s">
        <v>39</v>
      </c>
      <c r="AR209" t="s">
        <v>198</v>
      </c>
      <c r="AS209" t="s">
        <v>199</v>
      </c>
      <c r="AT209" t="s">
        <v>200</v>
      </c>
    </row>
    <row r="210" spans="1:46" x14ac:dyDescent="0.3">
      <c r="A210">
        <v>3</v>
      </c>
      <c r="B210" s="5">
        <v>46302.432280092595</v>
      </c>
      <c r="C210" s="5">
        <v>46302.473923611113</v>
      </c>
      <c r="D210">
        <v>174682920</v>
      </c>
      <c r="E210">
        <v>2026</v>
      </c>
      <c r="F210">
        <v>10</v>
      </c>
      <c r="G210">
        <v>7</v>
      </c>
      <c r="H210" s="1" t="s">
        <v>184</v>
      </c>
      <c r="I210" t="s">
        <v>185</v>
      </c>
      <c r="J210" t="s">
        <v>186</v>
      </c>
      <c r="K210" t="s">
        <v>187</v>
      </c>
      <c r="L210" t="s">
        <v>188</v>
      </c>
      <c r="M210" t="s">
        <v>189</v>
      </c>
      <c r="N210" t="s">
        <v>190</v>
      </c>
      <c r="O210" s="6">
        <v>888452.80386300001</v>
      </c>
      <c r="P210" s="6">
        <v>-4.4719893441999998</v>
      </c>
      <c r="Q210" s="6">
        <v>-7.4545579999999996</v>
      </c>
      <c r="R210" s="6">
        <v>7.4545579999999996</v>
      </c>
      <c r="S210">
        <v>13</v>
      </c>
      <c r="T210" t="s">
        <v>191</v>
      </c>
      <c r="U210">
        <v>69</v>
      </c>
      <c r="V210" t="s">
        <v>192</v>
      </c>
      <c r="W210" s="1" t="s">
        <v>201</v>
      </c>
      <c r="X210" s="18">
        <v>0.59989999999999999</v>
      </c>
      <c r="Y210" s="18">
        <v>0.59989999999999999</v>
      </c>
      <c r="Z210" t="s">
        <v>194</v>
      </c>
      <c r="AA210">
        <v>193830</v>
      </c>
      <c r="AB210">
        <v>31133804</v>
      </c>
      <c r="AC210">
        <v>0</v>
      </c>
      <c r="AD210">
        <v>6394368</v>
      </c>
      <c r="AG210">
        <v>20712950</v>
      </c>
      <c r="AJ210">
        <v>194436</v>
      </c>
      <c r="AK210" t="s">
        <v>195</v>
      </c>
      <c r="AL210" t="s">
        <v>202</v>
      </c>
      <c r="AN210" t="s">
        <v>197</v>
      </c>
      <c r="AO210">
        <v>0.57489999999999997</v>
      </c>
      <c r="AP210">
        <v>121.09409100000001</v>
      </c>
      <c r="AQ210" t="s">
        <v>56</v>
      </c>
      <c r="AR210" t="s">
        <v>198</v>
      </c>
      <c r="AS210" t="s">
        <v>199</v>
      </c>
      <c r="AT210" t="s">
        <v>200</v>
      </c>
    </row>
    <row r="211" spans="1:46" x14ac:dyDescent="0.3">
      <c r="A211">
        <v>3</v>
      </c>
      <c r="B211" s="5">
        <v>46302.435995370368</v>
      </c>
      <c r="C211" s="5">
        <v>46302.477650462963</v>
      </c>
      <c r="D211">
        <v>174683718</v>
      </c>
      <c r="E211">
        <v>2026</v>
      </c>
      <c r="F211">
        <v>10</v>
      </c>
      <c r="G211">
        <v>7</v>
      </c>
      <c r="H211" s="1" t="s">
        <v>184</v>
      </c>
      <c r="I211" t="s">
        <v>185</v>
      </c>
      <c r="J211" t="s">
        <v>186</v>
      </c>
      <c r="K211" t="s">
        <v>187</v>
      </c>
      <c r="L211" t="s">
        <v>188</v>
      </c>
      <c r="M211" t="s">
        <v>189</v>
      </c>
      <c r="N211" t="s">
        <v>190</v>
      </c>
      <c r="O211" s="6">
        <v>888445.34930500004</v>
      </c>
      <c r="P211" s="6">
        <v>-4.4719893441999998</v>
      </c>
      <c r="Q211" s="6">
        <v>-7.4545579999999996</v>
      </c>
      <c r="R211" s="6">
        <v>7.4545579999999996</v>
      </c>
      <c r="S211">
        <v>13</v>
      </c>
      <c r="T211" t="s">
        <v>191</v>
      </c>
      <c r="U211">
        <v>69</v>
      </c>
      <c r="V211" t="s">
        <v>192</v>
      </c>
      <c r="W211" s="1" t="s">
        <v>201</v>
      </c>
      <c r="X211" s="18">
        <v>0.59989999999999999</v>
      </c>
      <c r="Y211" s="18">
        <v>0.59989999999999999</v>
      </c>
      <c r="Z211" t="s">
        <v>194</v>
      </c>
      <c r="AA211">
        <v>193830</v>
      </c>
      <c r="AB211">
        <v>31133997</v>
      </c>
      <c r="AC211">
        <v>0</v>
      </c>
      <c r="AD211">
        <v>6394368</v>
      </c>
      <c r="AG211">
        <v>20712950</v>
      </c>
      <c r="AJ211">
        <v>194436</v>
      </c>
      <c r="AK211" t="s">
        <v>195</v>
      </c>
      <c r="AL211" t="s">
        <v>202</v>
      </c>
      <c r="AN211" t="s">
        <v>197</v>
      </c>
      <c r="AO211">
        <v>0.57489999999999997</v>
      </c>
      <c r="AP211">
        <v>121.09409100000001</v>
      </c>
      <c r="AQ211" t="s">
        <v>56</v>
      </c>
      <c r="AR211" t="s">
        <v>198</v>
      </c>
      <c r="AS211" t="s">
        <v>199</v>
      </c>
      <c r="AT211" t="s">
        <v>200</v>
      </c>
    </row>
    <row r="212" spans="1:46" x14ac:dyDescent="0.3">
      <c r="A212">
        <v>3</v>
      </c>
      <c r="B212" s="5">
        <v>46302.436828703707</v>
      </c>
      <c r="C212" s="5">
        <v>46302.478472222225</v>
      </c>
      <c r="D212">
        <v>174683836</v>
      </c>
      <c r="E212">
        <v>2026</v>
      </c>
      <c r="F212">
        <v>10</v>
      </c>
      <c r="G212">
        <v>7</v>
      </c>
      <c r="H212" s="1" t="s">
        <v>184</v>
      </c>
      <c r="I212" t="s">
        <v>185</v>
      </c>
      <c r="J212" t="s">
        <v>186</v>
      </c>
      <c r="K212" t="s">
        <v>187</v>
      </c>
      <c r="L212" t="s">
        <v>188</v>
      </c>
      <c r="M212" t="s">
        <v>189</v>
      </c>
      <c r="N212" t="s">
        <v>190</v>
      </c>
      <c r="O212" s="6">
        <v>888437.89474699995</v>
      </c>
      <c r="P212" s="6">
        <v>-4.4719893441999998</v>
      </c>
      <c r="Q212" s="6">
        <v>-7.4545579999999996</v>
      </c>
      <c r="R212" s="6">
        <v>7.4545579999999996</v>
      </c>
      <c r="S212">
        <v>13</v>
      </c>
      <c r="T212" t="s">
        <v>191</v>
      </c>
      <c r="U212">
        <v>69</v>
      </c>
      <c r="V212" t="s">
        <v>192</v>
      </c>
      <c r="W212" s="1" t="s">
        <v>201</v>
      </c>
      <c r="X212" s="18">
        <v>0.59989999999999999</v>
      </c>
      <c r="Y212" s="18">
        <v>0.59989999999999999</v>
      </c>
      <c r="Z212" t="s">
        <v>194</v>
      </c>
      <c r="AA212">
        <v>193830</v>
      </c>
      <c r="AB212">
        <v>31134010</v>
      </c>
      <c r="AC212">
        <v>0</v>
      </c>
      <c r="AD212">
        <v>6394368</v>
      </c>
      <c r="AG212">
        <v>20712950</v>
      </c>
      <c r="AJ212">
        <v>194436</v>
      </c>
      <c r="AK212" t="s">
        <v>195</v>
      </c>
      <c r="AL212" t="s">
        <v>202</v>
      </c>
      <c r="AN212" t="s">
        <v>197</v>
      </c>
      <c r="AO212">
        <v>0.57489999999999997</v>
      </c>
      <c r="AP212">
        <v>121.09409100000001</v>
      </c>
      <c r="AQ212" t="s">
        <v>56</v>
      </c>
      <c r="AR212" t="s">
        <v>198</v>
      </c>
      <c r="AS212" t="s">
        <v>199</v>
      </c>
      <c r="AT212" t="s">
        <v>200</v>
      </c>
    </row>
    <row r="213" spans="1:46" x14ac:dyDescent="0.3">
      <c r="A213">
        <v>3</v>
      </c>
      <c r="B213" s="5">
        <v>46302.438275462962</v>
      </c>
      <c r="C213" s="5">
        <v>46302.47991898148</v>
      </c>
      <c r="D213">
        <v>174684107</v>
      </c>
      <c r="E213">
        <v>2026</v>
      </c>
      <c r="F213">
        <v>10</v>
      </c>
      <c r="G213">
        <v>7</v>
      </c>
      <c r="H213" s="1" t="s">
        <v>184</v>
      </c>
      <c r="I213" t="s">
        <v>185</v>
      </c>
      <c r="J213" t="s">
        <v>186</v>
      </c>
      <c r="K213" t="s">
        <v>187</v>
      </c>
      <c r="L213" t="s">
        <v>188</v>
      </c>
      <c r="M213" t="s">
        <v>189</v>
      </c>
      <c r="N213" t="s">
        <v>190</v>
      </c>
      <c r="O213" s="6">
        <v>888430.44018899999</v>
      </c>
      <c r="P213" s="6">
        <v>-4.4872573990999998</v>
      </c>
      <c r="Q213" s="6">
        <v>-7.4800089999999999</v>
      </c>
      <c r="R213" s="6">
        <v>7.4800089999999999</v>
      </c>
      <c r="S213">
        <v>13</v>
      </c>
      <c r="T213" t="s">
        <v>191</v>
      </c>
      <c r="U213">
        <v>69</v>
      </c>
      <c r="V213" t="s">
        <v>192</v>
      </c>
      <c r="W213" s="1" t="s">
        <v>203</v>
      </c>
      <c r="X213" s="18">
        <v>0.59989999999999999</v>
      </c>
      <c r="Y213" s="18">
        <v>0.59989999999999999</v>
      </c>
      <c r="Z213" t="s">
        <v>194</v>
      </c>
      <c r="AA213">
        <v>193830</v>
      </c>
      <c r="AB213">
        <v>31134042</v>
      </c>
      <c r="AC213">
        <v>0</v>
      </c>
      <c r="AD213">
        <v>6394368</v>
      </c>
      <c r="AG213">
        <v>20871851</v>
      </c>
      <c r="AJ213">
        <v>192817</v>
      </c>
      <c r="AK213" t="s">
        <v>195</v>
      </c>
      <c r="AL213" t="s">
        <v>204</v>
      </c>
      <c r="AN213" t="s">
        <v>197</v>
      </c>
      <c r="AO213">
        <v>0.57489999999999997</v>
      </c>
      <c r="AP213">
        <v>121.080091</v>
      </c>
      <c r="AQ213" t="s">
        <v>54</v>
      </c>
      <c r="AR213" t="s">
        <v>198</v>
      </c>
      <c r="AS213" t="s">
        <v>199</v>
      </c>
      <c r="AT213" t="s">
        <v>200</v>
      </c>
    </row>
    <row r="214" spans="1:46" x14ac:dyDescent="0.3">
      <c r="A214">
        <v>3</v>
      </c>
      <c r="B214" s="5">
        <v>46302.43917824074</v>
      </c>
      <c r="C214" s="5">
        <v>46302.480833333335</v>
      </c>
      <c r="D214">
        <v>174684301</v>
      </c>
      <c r="E214">
        <v>2026</v>
      </c>
      <c r="F214">
        <v>10</v>
      </c>
      <c r="G214">
        <v>7</v>
      </c>
      <c r="H214" s="1" t="s">
        <v>184</v>
      </c>
      <c r="I214" t="s">
        <v>185</v>
      </c>
      <c r="J214" t="s">
        <v>186</v>
      </c>
      <c r="K214" t="s">
        <v>187</v>
      </c>
      <c r="L214" t="s">
        <v>188</v>
      </c>
      <c r="M214" t="s">
        <v>189</v>
      </c>
      <c r="N214" t="s">
        <v>190</v>
      </c>
      <c r="O214" s="6">
        <v>888422.96018000005</v>
      </c>
      <c r="P214" s="6">
        <v>-4.4872573990999998</v>
      </c>
      <c r="Q214" s="6">
        <v>-7.4800089999999999</v>
      </c>
      <c r="R214" s="6">
        <v>7.4800089999999999</v>
      </c>
      <c r="S214">
        <v>13</v>
      </c>
      <c r="T214" t="s">
        <v>191</v>
      </c>
      <c r="U214">
        <v>69</v>
      </c>
      <c r="V214" t="s">
        <v>192</v>
      </c>
      <c r="W214" s="1" t="s">
        <v>203</v>
      </c>
      <c r="X214" s="18">
        <v>0.59989999999999999</v>
      </c>
      <c r="Y214" s="18">
        <v>0.59989999999999999</v>
      </c>
      <c r="Z214" t="s">
        <v>194</v>
      </c>
      <c r="AA214">
        <v>193830</v>
      </c>
      <c r="AB214">
        <v>31134065</v>
      </c>
      <c r="AC214">
        <v>0</v>
      </c>
      <c r="AD214">
        <v>6394368</v>
      </c>
      <c r="AG214">
        <v>20871851</v>
      </c>
      <c r="AJ214">
        <v>192817</v>
      </c>
      <c r="AK214" t="s">
        <v>195</v>
      </c>
      <c r="AL214" t="s">
        <v>204</v>
      </c>
      <c r="AN214" t="s">
        <v>197</v>
      </c>
      <c r="AO214">
        <v>0.57489999999999997</v>
      </c>
      <c r="AP214">
        <v>121.080091</v>
      </c>
      <c r="AQ214" t="s">
        <v>54</v>
      </c>
      <c r="AR214" t="s">
        <v>198</v>
      </c>
      <c r="AS214" t="s">
        <v>199</v>
      </c>
      <c r="AT214" t="s">
        <v>200</v>
      </c>
    </row>
    <row r="215" spans="1:46" x14ac:dyDescent="0.3">
      <c r="A215">
        <v>3</v>
      </c>
      <c r="B215" s="5">
        <v>46302.439965277779</v>
      </c>
      <c r="C215" s="5">
        <v>46302.481608796297</v>
      </c>
      <c r="D215">
        <v>174684446</v>
      </c>
      <c r="E215">
        <v>2026</v>
      </c>
      <c r="F215">
        <v>10</v>
      </c>
      <c r="G215">
        <v>7</v>
      </c>
      <c r="H215" s="1" t="s">
        <v>184</v>
      </c>
      <c r="I215" t="s">
        <v>185</v>
      </c>
      <c r="J215" t="s">
        <v>186</v>
      </c>
      <c r="K215" t="s">
        <v>187</v>
      </c>
      <c r="L215" t="s">
        <v>188</v>
      </c>
      <c r="M215" t="s">
        <v>189</v>
      </c>
      <c r="N215" t="s">
        <v>190</v>
      </c>
      <c r="O215" s="6">
        <v>888415.480171</v>
      </c>
      <c r="P215" s="6">
        <v>-4.4872573990999998</v>
      </c>
      <c r="Q215" s="6">
        <v>-7.4800089999999999</v>
      </c>
      <c r="R215" s="6">
        <v>7.4800089999999999</v>
      </c>
      <c r="S215">
        <v>13</v>
      </c>
      <c r="T215" t="s">
        <v>191</v>
      </c>
      <c r="U215">
        <v>69</v>
      </c>
      <c r="V215" t="s">
        <v>192</v>
      </c>
      <c r="W215" s="1" t="s">
        <v>203</v>
      </c>
      <c r="X215" s="18">
        <v>0.59989999999999999</v>
      </c>
      <c r="Y215" s="18">
        <v>0.59989999999999999</v>
      </c>
      <c r="Z215" t="s">
        <v>194</v>
      </c>
      <c r="AA215">
        <v>193830</v>
      </c>
      <c r="AB215">
        <v>31134088</v>
      </c>
      <c r="AC215">
        <v>0</v>
      </c>
      <c r="AD215">
        <v>6394368</v>
      </c>
      <c r="AG215">
        <v>20871851</v>
      </c>
      <c r="AJ215">
        <v>192817</v>
      </c>
      <c r="AK215" t="s">
        <v>195</v>
      </c>
      <c r="AL215" t="s">
        <v>204</v>
      </c>
      <c r="AN215" t="s">
        <v>197</v>
      </c>
      <c r="AO215">
        <v>0.57489999999999997</v>
      </c>
      <c r="AP215">
        <v>121.080091</v>
      </c>
      <c r="AQ215" t="s">
        <v>54</v>
      </c>
      <c r="AR215" t="s">
        <v>198</v>
      </c>
      <c r="AS215" t="s">
        <v>199</v>
      </c>
      <c r="AT215" t="s">
        <v>200</v>
      </c>
    </row>
    <row r="216" spans="1:46" x14ac:dyDescent="0.3">
      <c r="A216">
        <v>3</v>
      </c>
      <c r="B216" s="5">
        <v>46302.440532407411</v>
      </c>
      <c r="C216" s="5">
        <v>46302.482187499998</v>
      </c>
      <c r="D216">
        <v>174684688</v>
      </c>
      <c r="E216">
        <v>2026</v>
      </c>
      <c r="F216">
        <v>10</v>
      </c>
      <c r="G216">
        <v>7</v>
      </c>
      <c r="H216" s="1" t="s">
        <v>184</v>
      </c>
      <c r="I216" t="s">
        <v>185</v>
      </c>
      <c r="J216" t="s">
        <v>186</v>
      </c>
      <c r="K216" t="s">
        <v>187</v>
      </c>
      <c r="L216" t="s">
        <v>188</v>
      </c>
      <c r="M216" t="s">
        <v>189</v>
      </c>
      <c r="N216" t="s">
        <v>190</v>
      </c>
      <c r="O216" s="6">
        <v>888408.00016199995</v>
      </c>
      <c r="P216" s="6">
        <v>-7198.8</v>
      </c>
      <c r="Q216" s="6">
        <v>-12000</v>
      </c>
      <c r="R216" s="6">
        <v>12000</v>
      </c>
      <c r="S216">
        <v>3</v>
      </c>
      <c r="T216" t="s">
        <v>209</v>
      </c>
      <c r="U216">
        <v>69</v>
      </c>
      <c r="V216" t="s">
        <v>192</v>
      </c>
      <c r="W216" s="1"/>
      <c r="X216" s="18">
        <v>0.59989999999999999</v>
      </c>
      <c r="Y216" s="18">
        <v>0.59989999999999999</v>
      </c>
      <c r="AA216">
        <v>193830</v>
      </c>
      <c r="AB216">
        <v>31134115</v>
      </c>
      <c r="AC216">
        <v>0</v>
      </c>
      <c r="AD216">
        <v>6452550</v>
      </c>
      <c r="AK216" t="s">
        <v>210</v>
      </c>
      <c r="AN216" t="s">
        <v>217</v>
      </c>
      <c r="AO216">
        <v>0.76990000000000003</v>
      </c>
    </row>
    <row r="217" spans="1:46" x14ac:dyDescent="0.3">
      <c r="A217">
        <v>3</v>
      </c>
      <c r="B217" s="5">
        <v>46302.440532407411</v>
      </c>
      <c r="C217" s="5">
        <v>46302.482187499998</v>
      </c>
      <c r="D217">
        <v>174684689</v>
      </c>
      <c r="E217">
        <v>2026</v>
      </c>
      <c r="F217">
        <v>10</v>
      </c>
      <c r="G217">
        <v>7</v>
      </c>
      <c r="H217" s="1" t="s">
        <v>184</v>
      </c>
      <c r="I217" t="s">
        <v>185</v>
      </c>
      <c r="J217" t="s">
        <v>186</v>
      </c>
      <c r="K217" t="s">
        <v>187</v>
      </c>
      <c r="L217" t="s">
        <v>212</v>
      </c>
      <c r="M217" t="s">
        <v>189</v>
      </c>
      <c r="N217" t="s">
        <v>213</v>
      </c>
      <c r="O217" s="6">
        <v>876408.00016199995</v>
      </c>
      <c r="P217" s="6">
        <v>7198.8</v>
      </c>
      <c r="Q217" s="6">
        <v>12000</v>
      </c>
      <c r="R217" s="6">
        <v>12000</v>
      </c>
      <c r="S217">
        <v>3</v>
      </c>
      <c r="T217" t="s">
        <v>209</v>
      </c>
      <c r="U217">
        <v>69</v>
      </c>
      <c r="V217" t="s">
        <v>192</v>
      </c>
      <c r="W217" s="1"/>
      <c r="X217" s="18">
        <v>0.59989999999999999</v>
      </c>
      <c r="Y217" s="18">
        <v>0.59989999999999999</v>
      </c>
      <c r="AA217">
        <v>193830</v>
      </c>
      <c r="AB217">
        <v>31134115</v>
      </c>
      <c r="AC217">
        <v>0</v>
      </c>
      <c r="AD217">
        <v>6566103</v>
      </c>
      <c r="AK217" t="s">
        <v>210</v>
      </c>
      <c r="AN217" t="s">
        <v>217</v>
      </c>
      <c r="AO217">
        <v>0.76990000000000003</v>
      </c>
    </row>
    <row r="218" spans="1:46" x14ac:dyDescent="0.3">
      <c r="A218">
        <v>3</v>
      </c>
      <c r="B218" s="5">
        <v>46302.441018518519</v>
      </c>
      <c r="C218" s="5">
        <v>46302.482638888891</v>
      </c>
      <c r="D218">
        <v>174684760</v>
      </c>
      <c r="E218">
        <v>2026</v>
      </c>
      <c r="F218">
        <v>10</v>
      </c>
      <c r="G218">
        <v>7</v>
      </c>
      <c r="H218" s="1" t="s">
        <v>184</v>
      </c>
      <c r="I218" t="s">
        <v>185</v>
      </c>
      <c r="J218" t="s">
        <v>186</v>
      </c>
      <c r="K218" t="s">
        <v>187</v>
      </c>
      <c r="L218" t="s">
        <v>188</v>
      </c>
      <c r="M218" t="s">
        <v>189</v>
      </c>
      <c r="N218" t="s">
        <v>190</v>
      </c>
      <c r="O218" s="6">
        <v>888408.00016199995</v>
      </c>
      <c r="P218" s="6">
        <v>-8.9212682740999991</v>
      </c>
      <c r="Q218" s="6">
        <v>-14.871259</v>
      </c>
      <c r="R218" s="6">
        <v>14.871259</v>
      </c>
      <c r="S218">
        <v>13</v>
      </c>
      <c r="T218" t="s">
        <v>191</v>
      </c>
      <c r="U218">
        <v>69</v>
      </c>
      <c r="V218" t="s">
        <v>192</v>
      </c>
      <c r="W218" s="1" t="s">
        <v>214</v>
      </c>
      <c r="X218" s="18">
        <v>0.59989999999999999</v>
      </c>
      <c r="Y218" s="18">
        <v>0.59989999999999999</v>
      </c>
      <c r="Z218" t="s">
        <v>194</v>
      </c>
      <c r="AA218">
        <v>193830</v>
      </c>
      <c r="AB218">
        <v>31134129</v>
      </c>
      <c r="AC218">
        <v>0</v>
      </c>
      <c r="AD218">
        <v>6394368</v>
      </c>
      <c r="AG218">
        <v>20916065</v>
      </c>
      <c r="AJ218">
        <v>195123</v>
      </c>
      <c r="AK218" t="s">
        <v>195</v>
      </c>
      <c r="AL218" t="s">
        <v>215</v>
      </c>
      <c r="AN218" t="s">
        <v>197</v>
      </c>
      <c r="AO218">
        <v>0.57489999999999997</v>
      </c>
      <c r="AP218">
        <v>121.00909015000001</v>
      </c>
      <c r="AQ218" t="s">
        <v>80</v>
      </c>
      <c r="AR218" t="s">
        <v>198</v>
      </c>
      <c r="AS218" t="s">
        <v>199</v>
      </c>
      <c r="AT218" t="s">
        <v>200</v>
      </c>
    </row>
    <row r="219" spans="1:46" x14ac:dyDescent="0.3">
      <c r="A219">
        <v>3</v>
      </c>
      <c r="B219" s="5">
        <v>46302.442071759258</v>
      </c>
      <c r="C219" s="5">
        <v>46302.483715277776</v>
      </c>
      <c r="D219">
        <v>174684925</v>
      </c>
      <c r="E219">
        <v>2026</v>
      </c>
      <c r="F219">
        <v>10</v>
      </c>
      <c r="G219">
        <v>7</v>
      </c>
      <c r="H219" s="1" t="s">
        <v>184</v>
      </c>
      <c r="I219" t="s">
        <v>185</v>
      </c>
      <c r="J219" t="s">
        <v>186</v>
      </c>
      <c r="K219" t="s">
        <v>187</v>
      </c>
      <c r="L219" t="s">
        <v>188</v>
      </c>
      <c r="M219" t="s">
        <v>189</v>
      </c>
      <c r="N219" t="s">
        <v>190</v>
      </c>
      <c r="O219" s="6">
        <v>888393.12890300003</v>
      </c>
      <c r="P219" s="6">
        <v>-8.9212682740999991</v>
      </c>
      <c r="Q219" s="6">
        <v>-14.871259</v>
      </c>
      <c r="R219" s="6">
        <v>14.871259</v>
      </c>
      <c r="S219">
        <v>13</v>
      </c>
      <c r="T219" t="s">
        <v>191</v>
      </c>
      <c r="U219">
        <v>69</v>
      </c>
      <c r="V219" t="s">
        <v>192</v>
      </c>
      <c r="W219" s="1" t="s">
        <v>214</v>
      </c>
      <c r="X219" s="18">
        <v>0.59989999999999999</v>
      </c>
      <c r="Y219" s="18">
        <v>0.59989999999999999</v>
      </c>
      <c r="Z219" t="s">
        <v>194</v>
      </c>
      <c r="AA219">
        <v>193830</v>
      </c>
      <c r="AB219">
        <v>31134149</v>
      </c>
      <c r="AC219">
        <v>0</v>
      </c>
      <c r="AD219">
        <v>6394368</v>
      </c>
      <c r="AG219">
        <v>20916065</v>
      </c>
      <c r="AJ219">
        <v>195123</v>
      </c>
      <c r="AK219" t="s">
        <v>195</v>
      </c>
      <c r="AL219" t="s">
        <v>215</v>
      </c>
      <c r="AN219" t="s">
        <v>197</v>
      </c>
      <c r="AO219">
        <v>0.57489999999999997</v>
      </c>
      <c r="AP219">
        <v>121.00909015000001</v>
      </c>
      <c r="AQ219" t="s">
        <v>80</v>
      </c>
      <c r="AR219" t="s">
        <v>198</v>
      </c>
      <c r="AS219" t="s">
        <v>199</v>
      </c>
      <c r="AT219" t="s">
        <v>200</v>
      </c>
    </row>
    <row r="220" spans="1:46" x14ac:dyDescent="0.3">
      <c r="A220">
        <v>3</v>
      </c>
      <c r="B220" s="5">
        <v>46302.442094907405</v>
      </c>
      <c r="C220" s="5">
        <v>46302.483738425923</v>
      </c>
      <c r="D220">
        <v>174684938</v>
      </c>
      <c r="E220">
        <v>2026</v>
      </c>
      <c r="F220">
        <v>10</v>
      </c>
      <c r="G220">
        <v>7</v>
      </c>
      <c r="H220" s="1" t="s">
        <v>184</v>
      </c>
      <c r="I220" t="s">
        <v>185</v>
      </c>
      <c r="J220" t="s">
        <v>186</v>
      </c>
      <c r="K220" t="s">
        <v>187</v>
      </c>
      <c r="L220" t="s">
        <v>188</v>
      </c>
      <c r="M220" t="s">
        <v>189</v>
      </c>
      <c r="N220" t="s">
        <v>190</v>
      </c>
      <c r="O220" s="6">
        <v>888378.257644</v>
      </c>
      <c r="P220" s="6">
        <v>-4.4719893441999998</v>
      </c>
      <c r="Q220" s="6">
        <v>-7.4545579999999996</v>
      </c>
      <c r="R220" s="6">
        <v>7.4545579999999996</v>
      </c>
      <c r="S220">
        <v>13</v>
      </c>
      <c r="T220" t="s">
        <v>191</v>
      </c>
      <c r="U220">
        <v>69</v>
      </c>
      <c r="V220" t="s">
        <v>192</v>
      </c>
      <c r="W220" s="1" t="s">
        <v>201</v>
      </c>
      <c r="X220" s="18">
        <v>0.59989999999999999</v>
      </c>
      <c r="Y220" s="18">
        <v>0.59989999999999999</v>
      </c>
      <c r="Z220" t="s">
        <v>194</v>
      </c>
      <c r="AA220">
        <v>193830</v>
      </c>
      <c r="AB220">
        <v>31134150</v>
      </c>
      <c r="AC220">
        <v>0</v>
      </c>
      <c r="AD220">
        <v>6394368</v>
      </c>
      <c r="AG220">
        <v>20712950</v>
      </c>
      <c r="AJ220">
        <v>194436</v>
      </c>
      <c r="AK220" t="s">
        <v>195</v>
      </c>
      <c r="AL220" t="s">
        <v>202</v>
      </c>
      <c r="AN220" t="s">
        <v>197</v>
      </c>
      <c r="AO220">
        <v>0.57489999999999997</v>
      </c>
      <c r="AP220">
        <v>121.09409100000001</v>
      </c>
      <c r="AQ220" t="s">
        <v>56</v>
      </c>
      <c r="AR220" t="s">
        <v>198</v>
      </c>
      <c r="AS220" t="s">
        <v>199</v>
      </c>
      <c r="AT220" t="s">
        <v>200</v>
      </c>
    </row>
    <row r="221" spans="1:46" x14ac:dyDescent="0.3">
      <c r="A221">
        <v>3</v>
      </c>
      <c r="B221" s="5">
        <v>46302.443252314813</v>
      </c>
      <c r="C221" s="5">
        <v>46302.484895833331</v>
      </c>
      <c r="D221">
        <v>174685214</v>
      </c>
      <c r="E221">
        <v>2026</v>
      </c>
      <c r="F221">
        <v>10</v>
      </c>
      <c r="G221">
        <v>7</v>
      </c>
      <c r="H221" s="1" t="s">
        <v>184</v>
      </c>
      <c r="I221" t="s">
        <v>185</v>
      </c>
      <c r="J221" t="s">
        <v>186</v>
      </c>
      <c r="K221" t="s">
        <v>187</v>
      </c>
      <c r="L221" t="s">
        <v>188</v>
      </c>
      <c r="M221" t="s">
        <v>189</v>
      </c>
      <c r="N221" t="s">
        <v>190</v>
      </c>
      <c r="O221" s="6">
        <v>888370.80308600003</v>
      </c>
      <c r="P221" s="6">
        <v>-8.9212682740999991</v>
      </c>
      <c r="Q221" s="6">
        <v>-14.871259</v>
      </c>
      <c r="R221" s="6">
        <v>14.871259</v>
      </c>
      <c r="S221">
        <v>13</v>
      </c>
      <c r="T221" t="s">
        <v>191</v>
      </c>
      <c r="U221">
        <v>69</v>
      </c>
      <c r="V221" t="s">
        <v>192</v>
      </c>
      <c r="W221" s="1" t="s">
        <v>214</v>
      </c>
      <c r="X221" s="18">
        <v>0.59989999999999999</v>
      </c>
      <c r="Y221" s="18">
        <v>0.59989999999999999</v>
      </c>
      <c r="Z221" t="s">
        <v>194</v>
      </c>
      <c r="AA221">
        <v>193830</v>
      </c>
      <c r="AB221">
        <v>31134195</v>
      </c>
      <c r="AC221">
        <v>0</v>
      </c>
      <c r="AD221">
        <v>6394368</v>
      </c>
      <c r="AG221">
        <v>20916065</v>
      </c>
      <c r="AJ221">
        <v>195123</v>
      </c>
      <c r="AK221" t="s">
        <v>195</v>
      </c>
      <c r="AL221" t="s">
        <v>215</v>
      </c>
      <c r="AN221" t="s">
        <v>197</v>
      </c>
      <c r="AO221">
        <v>0.57489999999999997</v>
      </c>
      <c r="AP221">
        <v>121.00909015000001</v>
      </c>
      <c r="AQ221" t="s">
        <v>80</v>
      </c>
      <c r="AR221" t="s">
        <v>198</v>
      </c>
      <c r="AS221" t="s">
        <v>199</v>
      </c>
      <c r="AT221" t="s">
        <v>200</v>
      </c>
    </row>
    <row r="222" spans="1:46" x14ac:dyDescent="0.3">
      <c r="A222">
        <v>3</v>
      </c>
      <c r="B222" s="5">
        <v>46302.445370370369</v>
      </c>
      <c r="C222" s="5">
        <v>46302.487013888887</v>
      </c>
      <c r="D222">
        <v>174685756</v>
      </c>
      <c r="E222">
        <v>2026</v>
      </c>
      <c r="F222">
        <v>10</v>
      </c>
      <c r="G222">
        <v>7</v>
      </c>
      <c r="H222" s="1" t="s">
        <v>184</v>
      </c>
      <c r="I222" t="s">
        <v>185</v>
      </c>
      <c r="J222" t="s">
        <v>186</v>
      </c>
      <c r="K222" t="s">
        <v>187</v>
      </c>
      <c r="L222" t="s">
        <v>188</v>
      </c>
      <c r="M222" t="s">
        <v>189</v>
      </c>
      <c r="N222" t="s">
        <v>190</v>
      </c>
      <c r="O222" s="6">
        <v>888355.93182699999</v>
      </c>
      <c r="P222" s="6">
        <v>-4.4719893441999998</v>
      </c>
      <c r="Q222" s="6">
        <v>-7.4545579999999996</v>
      </c>
      <c r="R222" s="6">
        <v>7.4545579999999996</v>
      </c>
      <c r="S222">
        <v>13</v>
      </c>
      <c r="T222" t="s">
        <v>191</v>
      </c>
      <c r="U222">
        <v>69</v>
      </c>
      <c r="V222" t="s">
        <v>192</v>
      </c>
      <c r="W222" s="1" t="s">
        <v>201</v>
      </c>
      <c r="X222" s="18">
        <v>0.59989999999999999</v>
      </c>
      <c r="Y222" s="18">
        <v>0.59989999999999999</v>
      </c>
      <c r="Z222" t="s">
        <v>194</v>
      </c>
      <c r="AA222">
        <v>193830</v>
      </c>
      <c r="AB222">
        <v>31134283</v>
      </c>
      <c r="AC222">
        <v>0</v>
      </c>
      <c r="AD222">
        <v>6394368</v>
      </c>
      <c r="AG222">
        <v>20712950</v>
      </c>
      <c r="AJ222">
        <v>194436</v>
      </c>
      <c r="AK222" t="s">
        <v>195</v>
      </c>
      <c r="AL222" t="s">
        <v>202</v>
      </c>
      <c r="AN222" t="s">
        <v>197</v>
      </c>
      <c r="AO222">
        <v>0.57489999999999997</v>
      </c>
      <c r="AP222">
        <v>121.09409100000001</v>
      </c>
      <c r="AQ222" t="s">
        <v>56</v>
      </c>
      <c r="AR222" t="s">
        <v>198</v>
      </c>
      <c r="AS222" t="s">
        <v>199</v>
      </c>
      <c r="AT222" t="s">
        <v>200</v>
      </c>
    </row>
    <row r="223" spans="1:46" x14ac:dyDescent="0.3">
      <c r="A223">
        <v>3</v>
      </c>
      <c r="B223" s="5">
        <v>46302.446342592593</v>
      </c>
      <c r="C223" s="5">
        <v>46302.487986111111</v>
      </c>
      <c r="D223">
        <v>174686118</v>
      </c>
      <c r="E223">
        <v>2026</v>
      </c>
      <c r="F223">
        <v>10</v>
      </c>
      <c r="G223">
        <v>7</v>
      </c>
      <c r="H223" s="1" t="s">
        <v>184</v>
      </c>
      <c r="I223" t="s">
        <v>185</v>
      </c>
      <c r="J223" t="s">
        <v>186</v>
      </c>
      <c r="K223" t="s">
        <v>187</v>
      </c>
      <c r="L223" t="s">
        <v>188</v>
      </c>
      <c r="M223" t="s">
        <v>189</v>
      </c>
      <c r="N223" t="s">
        <v>190</v>
      </c>
      <c r="O223" s="6">
        <v>888348.47726900002</v>
      </c>
      <c r="P223" s="6">
        <v>-4.4719893441999998</v>
      </c>
      <c r="Q223" s="6">
        <v>-7.4545579999999996</v>
      </c>
      <c r="R223" s="6">
        <v>7.4545579999999996</v>
      </c>
      <c r="S223">
        <v>13</v>
      </c>
      <c r="T223" t="s">
        <v>191</v>
      </c>
      <c r="U223">
        <v>69</v>
      </c>
      <c r="V223" t="s">
        <v>192</v>
      </c>
      <c r="W223" s="1" t="s">
        <v>201</v>
      </c>
      <c r="X223" s="18">
        <v>0.59989999999999999</v>
      </c>
      <c r="Y223" s="18">
        <v>0.59989999999999999</v>
      </c>
      <c r="Z223" t="s">
        <v>194</v>
      </c>
      <c r="AA223">
        <v>193830</v>
      </c>
      <c r="AB223">
        <v>31134327</v>
      </c>
      <c r="AC223">
        <v>0</v>
      </c>
      <c r="AD223">
        <v>6394368</v>
      </c>
      <c r="AG223">
        <v>20712950</v>
      </c>
      <c r="AJ223">
        <v>194436</v>
      </c>
      <c r="AK223" t="s">
        <v>195</v>
      </c>
      <c r="AL223" t="s">
        <v>202</v>
      </c>
      <c r="AN223" t="s">
        <v>197</v>
      </c>
      <c r="AO223">
        <v>0.57489999999999997</v>
      </c>
      <c r="AP223">
        <v>121.09409100000001</v>
      </c>
      <c r="AQ223" t="s">
        <v>56</v>
      </c>
      <c r="AR223" t="s">
        <v>198</v>
      </c>
      <c r="AS223" t="s">
        <v>199</v>
      </c>
      <c r="AT223" t="s">
        <v>200</v>
      </c>
    </row>
    <row r="224" spans="1:46" x14ac:dyDescent="0.3">
      <c r="A224">
        <v>3</v>
      </c>
      <c r="B224" s="5">
        <v>46302.446655092594</v>
      </c>
      <c r="C224" s="5">
        <v>46302.488310185188</v>
      </c>
      <c r="D224">
        <v>174686177</v>
      </c>
      <c r="E224">
        <v>2026</v>
      </c>
      <c r="F224">
        <v>10</v>
      </c>
      <c r="G224">
        <v>7</v>
      </c>
      <c r="H224" s="1" t="s">
        <v>184</v>
      </c>
      <c r="I224" t="s">
        <v>185</v>
      </c>
      <c r="J224" t="s">
        <v>186</v>
      </c>
      <c r="K224" t="s">
        <v>187</v>
      </c>
      <c r="L224" t="s">
        <v>188</v>
      </c>
      <c r="M224" t="s">
        <v>189</v>
      </c>
      <c r="N224" t="s">
        <v>190</v>
      </c>
      <c r="O224" s="6">
        <v>888341.02271100006</v>
      </c>
      <c r="P224" s="6">
        <v>-5.8914037357</v>
      </c>
      <c r="Q224" s="6">
        <v>-9.8206430000000005</v>
      </c>
      <c r="R224" s="6">
        <v>9.8206430000000005</v>
      </c>
      <c r="S224">
        <v>13</v>
      </c>
      <c r="T224" t="s">
        <v>191</v>
      </c>
      <c r="U224">
        <v>69</v>
      </c>
      <c r="V224" t="s">
        <v>192</v>
      </c>
      <c r="W224" s="1" t="s">
        <v>205</v>
      </c>
      <c r="X224" s="18">
        <v>0.59989999999999999</v>
      </c>
      <c r="Y224" s="18">
        <v>0.59989999999999999</v>
      </c>
      <c r="Z224" t="s">
        <v>194</v>
      </c>
      <c r="AA224">
        <v>193830</v>
      </c>
      <c r="AB224">
        <v>31134334</v>
      </c>
      <c r="AC224">
        <v>0</v>
      </c>
      <c r="AD224">
        <v>6394368</v>
      </c>
      <c r="AG224">
        <v>20969340</v>
      </c>
      <c r="AJ224">
        <v>197576</v>
      </c>
      <c r="AK224" t="s">
        <v>195</v>
      </c>
      <c r="AL224" t="s">
        <v>216</v>
      </c>
      <c r="AN224" t="s">
        <v>197</v>
      </c>
      <c r="AO224">
        <v>0.57489999999999997</v>
      </c>
      <c r="AP224">
        <v>120.04309120000001</v>
      </c>
      <c r="AQ224" t="s">
        <v>39</v>
      </c>
      <c r="AR224" t="s">
        <v>198</v>
      </c>
      <c r="AS224" t="s">
        <v>199</v>
      </c>
      <c r="AT224" t="s">
        <v>200</v>
      </c>
    </row>
    <row r="225" spans="1:46" x14ac:dyDescent="0.3">
      <c r="A225">
        <v>3</v>
      </c>
      <c r="B225" s="5">
        <v>46302.447951388887</v>
      </c>
      <c r="C225" s="5">
        <v>46302.489560185182</v>
      </c>
      <c r="D225">
        <v>174686552</v>
      </c>
      <c r="E225">
        <v>2026</v>
      </c>
      <c r="F225">
        <v>10</v>
      </c>
      <c r="G225">
        <v>7</v>
      </c>
      <c r="H225" s="1" t="s">
        <v>184</v>
      </c>
      <c r="I225" t="s">
        <v>185</v>
      </c>
      <c r="J225" t="s">
        <v>186</v>
      </c>
      <c r="K225" t="s">
        <v>187</v>
      </c>
      <c r="L225" t="s">
        <v>188</v>
      </c>
      <c r="M225" t="s">
        <v>189</v>
      </c>
      <c r="N225" t="s">
        <v>190</v>
      </c>
      <c r="O225" s="6">
        <v>888331.20206799998</v>
      </c>
      <c r="P225" s="6">
        <v>-4.4872573990999998</v>
      </c>
      <c r="Q225" s="6">
        <v>-7.4800089999999999</v>
      </c>
      <c r="R225" s="6">
        <v>7.4800089999999999</v>
      </c>
      <c r="S225">
        <v>13</v>
      </c>
      <c r="T225" t="s">
        <v>191</v>
      </c>
      <c r="U225">
        <v>69</v>
      </c>
      <c r="V225" t="s">
        <v>192</v>
      </c>
      <c r="W225" s="1" t="s">
        <v>203</v>
      </c>
      <c r="X225" s="18">
        <v>0.59989999999999999</v>
      </c>
      <c r="Y225" s="18">
        <v>0.59989999999999999</v>
      </c>
      <c r="Z225" t="s">
        <v>194</v>
      </c>
      <c r="AA225">
        <v>193830</v>
      </c>
      <c r="AB225">
        <v>31134415</v>
      </c>
      <c r="AC225">
        <v>0</v>
      </c>
      <c r="AD225">
        <v>6394368</v>
      </c>
      <c r="AG225">
        <v>20849033</v>
      </c>
      <c r="AJ225">
        <v>192817</v>
      </c>
      <c r="AK225" t="s">
        <v>195</v>
      </c>
      <c r="AL225" t="s">
        <v>219</v>
      </c>
      <c r="AN225" t="s">
        <v>197</v>
      </c>
      <c r="AO225">
        <v>0.57489999999999997</v>
      </c>
      <c r="AP225">
        <v>121.080091</v>
      </c>
      <c r="AQ225" t="s">
        <v>54</v>
      </c>
      <c r="AR225" t="s">
        <v>198</v>
      </c>
      <c r="AS225" t="s">
        <v>199</v>
      </c>
      <c r="AT225" t="s">
        <v>200</v>
      </c>
    </row>
    <row r="226" spans="1:46" x14ac:dyDescent="0.3">
      <c r="A226">
        <v>3</v>
      </c>
      <c r="B226" s="5">
        <v>46302.44940972222</v>
      </c>
      <c r="C226" s="5">
        <v>46302.491053240738</v>
      </c>
      <c r="D226">
        <v>174686791</v>
      </c>
      <c r="E226">
        <v>2026</v>
      </c>
      <c r="F226">
        <v>10</v>
      </c>
      <c r="G226">
        <v>7</v>
      </c>
      <c r="H226" s="1" t="s">
        <v>184</v>
      </c>
      <c r="I226" t="s">
        <v>185</v>
      </c>
      <c r="J226" t="s">
        <v>186</v>
      </c>
      <c r="K226" t="s">
        <v>187</v>
      </c>
      <c r="L226" t="s">
        <v>188</v>
      </c>
      <c r="M226" t="s">
        <v>189</v>
      </c>
      <c r="N226" t="s">
        <v>190</v>
      </c>
      <c r="O226" s="6">
        <v>888323.72205900005</v>
      </c>
      <c r="P226" s="6">
        <v>-4.4872573990999998</v>
      </c>
      <c r="Q226" s="6">
        <v>-7.4800089999999999</v>
      </c>
      <c r="R226" s="6">
        <v>7.4800089999999999</v>
      </c>
      <c r="S226">
        <v>13</v>
      </c>
      <c r="T226" t="s">
        <v>191</v>
      </c>
      <c r="U226">
        <v>69</v>
      </c>
      <c r="V226" t="s">
        <v>192</v>
      </c>
      <c r="W226" s="1" t="s">
        <v>203</v>
      </c>
      <c r="X226" s="18">
        <v>0.59989999999999999</v>
      </c>
      <c r="Y226" s="18">
        <v>0.59989999999999999</v>
      </c>
      <c r="Z226" t="s">
        <v>194</v>
      </c>
      <c r="AA226">
        <v>193830</v>
      </c>
      <c r="AB226">
        <v>31134467</v>
      </c>
      <c r="AC226">
        <v>0</v>
      </c>
      <c r="AD226">
        <v>6394368</v>
      </c>
      <c r="AG226">
        <v>20849033</v>
      </c>
      <c r="AJ226">
        <v>192817</v>
      </c>
      <c r="AK226" t="s">
        <v>195</v>
      </c>
      <c r="AL226" t="s">
        <v>219</v>
      </c>
      <c r="AN226" t="s">
        <v>197</v>
      </c>
      <c r="AO226">
        <v>0.57489999999999997</v>
      </c>
      <c r="AP226">
        <v>121.080091</v>
      </c>
      <c r="AQ226" t="s">
        <v>54</v>
      </c>
      <c r="AR226" t="s">
        <v>198</v>
      </c>
      <c r="AS226" t="s">
        <v>199</v>
      </c>
      <c r="AT226" t="s">
        <v>200</v>
      </c>
    </row>
    <row r="227" spans="1:46" x14ac:dyDescent="0.3">
      <c r="A227">
        <v>3</v>
      </c>
      <c r="B227" s="5">
        <v>46302.45</v>
      </c>
      <c r="C227" s="5">
        <v>46302.491655092592</v>
      </c>
      <c r="D227">
        <v>174686898</v>
      </c>
      <c r="E227">
        <v>2026</v>
      </c>
      <c r="F227">
        <v>10</v>
      </c>
      <c r="G227">
        <v>7</v>
      </c>
      <c r="H227" s="1" t="s">
        <v>184</v>
      </c>
      <c r="I227" t="s">
        <v>185</v>
      </c>
      <c r="J227" t="s">
        <v>186</v>
      </c>
      <c r="K227" t="s">
        <v>187</v>
      </c>
      <c r="L227" t="s">
        <v>188</v>
      </c>
      <c r="M227" t="s">
        <v>189</v>
      </c>
      <c r="N227" t="s">
        <v>190</v>
      </c>
      <c r="O227" s="6">
        <v>888316.24205</v>
      </c>
      <c r="P227" s="6">
        <v>-4.4872573990999998</v>
      </c>
      <c r="Q227" s="6">
        <v>-7.4800089999999999</v>
      </c>
      <c r="R227" s="6">
        <v>7.4800089999999999</v>
      </c>
      <c r="S227">
        <v>13</v>
      </c>
      <c r="T227" t="s">
        <v>191</v>
      </c>
      <c r="U227">
        <v>69</v>
      </c>
      <c r="V227" t="s">
        <v>192</v>
      </c>
      <c r="W227" s="1" t="s">
        <v>203</v>
      </c>
      <c r="X227" s="18">
        <v>0.59989999999999999</v>
      </c>
      <c r="Y227" s="18">
        <v>0.59989999999999999</v>
      </c>
      <c r="Z227" t="s">
        <v>194</v>
      </c>
      <c r="AA227">
        <v>193830</v>
      </c>
      <c r="AB227">
        <v>31134480</v>
      </c>
      <c r="AC227">
        <v>0</v>
      </c>
      <c r="AD227">
        <v>6394368</v>
      </c>
      <c r="AG227">
        <v>20871851</v>
      </c>
      <c r="AJ227">
        <v>192817</v>
      </c>
      <c r="AK227" t="s">
        <v>195</v>
      </c>
      <c r="AL227" t="s">
        <v>204</v>
      </c>
      <c r="AN227" t="s">
        <v>197</v>
      </c>
      <c r="AO227">
        <v>0.57489999999999997</v>
      </c>
      <c r="AP227">
        <v>121.080091</v>
      </c>
      <c r="AQ227" t="s">
        <v>54</v>
      </c>
      <c r="AR227" t="s">
        <v>198</v>
      </c>
      <c r="AS227" t="s">
        <v>199</v>
      </c>
      <c r="AT227" t="s">
        <v>220</v>
      </c>
    </row>
    <row r="228" spans="1:46" x14ac:dyDescent="0.3">
      <c r="A228">
        <v>3</v>
      </c>
      <c r="B228" s="5">
        <v>46302.450613425928</v>
      </c>
      <c r="C228" s="5">
        <v>46302.492256944446</v>
      </c>
      <c r="D228">
        <v>174687060</v>
      </c>
      <c r="E228">
        <v>2026</v>
      </c>
      <c r="F228">
        <v>10</v>
      </c>
      <c r="G228">
        <v>7</v>
      </c>
      <c r="H228" s="1" t="s">
        <v>184</v>
      </c>
      <c r="I228" t="s">
        <v>185</v>
      </c>
      <c r="J228" t="s">
        <v>186</v>
      </c>
      <c r="K228" t="s">
        <v>187</v>
      </c>
      <c r="L228" t="s">
        <v>188</v>
      </c>
      <c r="M228" t="s">
        <v>189</v>
      </c>
      <c r="N228" t="s">
        <v>190</v>
      </c>
      <c r="O228" s="6">
        <v>888308.76204099995</v>
      </c>
      <c r="P228" s="6">
        <v>-5.8914037357</v>
      </c>
      <c r="Q228" s="6">
        <v>-9.8206430000000005</v>
      </c>
      <c r="R228" s="6">
        <v>9.8206430000000005</v>
      </c>
      <c r="S228">
        <v>13</v>
      </c>
      <c r="T228" t="s">
        <v>191</v>
      </c>
      <c r="U228">
        <v>69</v>
      </c>
      <c r="V228" t="s">
        <v>192</v>
      </c>
      <c r="W228" s="1" t="s">
        <v>205</v>
      </c>
      <c r="X228" s="18">
        <v>0.59989999999999999</v>
      </c>
      <c r="Y228" s="18">
        <v>0.59989999999999999</v>
      </c>
      <c r="Z228" t="s">
        <v>194</v>
      </c>
      <c r="AA228">
        <v>193830</v>
      </c>
      <c r="AB228">
        <v>31134519</v>
      </c>
      <c r="AC228">
        <v>0</v>
      </c>
      <c r="AD228">
        <v>6394368</v>
      </c>
      <c r="AG228">
        <v>20969340</v>
      </c>
      <c r="AJ228">
        <v>197576</v>
      </c>
      <c r="AK228" t="s">
        <v>195</v>
      </c>
      <c r="AL228" t="s">
        <v>216</v>
      </c>
      <c r="AN228" t="s">
        <v>197</v>
      </c>
      <c r="AO228">
        <v>0.57489999999999997</v>
      </c>
      <c r="AP228">
        <v>120.04309120000001</v>
      </c>
      <c r="AQ228" t="s">
        <v>39</v>
      </c>
      <c r="AR228" t="s">
        <v>198</v>
      </c>
      <c r="AS228" t="s">
        <v>199</v>
      </c>
      <c r="AT228" t="s">
        <v>200</v>
      </c>
    </row>
    <row r="229" spans="1:46" x14ac:dyDescent="0.3">
      <c r="A229">
        <v>3</v>
      </c>
      <c r="B229" s="5">
        <v>46302.451724537037</v>
      </c>
      <c r="C229" s="5">
        <v>46302.493368055555</v>
      </c>
      <c r="D229">
        <v>174687257</v>
      </c>
      <c r="E229">
        <v>2026</v>
      </c>
      <c r="F229">
        <v>10</v>
      </c>
      <c r="G229">
        <v>7</v>
      </c>
      <c r="H229" s="1" t="s">
        <v>184</v>
      </c>
      <c r="I229" t="s">
        <v>185</v>
      </c>
      <c r="J229" t="s">
        <v>186</v>
      </c>
      <c r="K229" t="s">
        <v>187</v>
      </c>
      <c r="L229" t="s">
        <v>188</v>
      </c>
      <c r="M229" t="s">
        <v>189</v>
      </c>
      <c r="N229" t="s">
        <v>190</v>
      </c>
      <c r="O229" s="6">
        <v>888298.941398</v>
      </c>
      <c r="P229" s="6">
        <v>-4.4872573990999998</v>
      </c>
      <c r="Q229" s="6">
        <v>-7.4800089999999999</v>
      </c>
      <c r="R229" s="6">
        <v>7.4800089999999999</v>
      </c>
      <c r="S229">
        <v>13</v>
      </c>
      <c r="T229" t="s">
        <v>191</v>
      </c>
      <c r="U229">
        <v>69</v>
      </c>
      <c r="V229" t="s">
        <v>192</v>
      </c>
      <c r="W229" s="1" t="s">
        <v>203</v>
      </c>
      <c r="X229" s="18">
        <v>0.59989999999999999</v>
      </c>
      <c r="Y229" s="18">
        <v>0.59989999999999999</v>
      </c>
      <c r="Z229" t="s">
        <v>194</v>
      </c>
      <c r="AA229">
        <v>193830</v>
      </c>
      <c r="AB229">
        <v>31134551</v>
      </c>
      <c r="AC229">
        <v>0</v>
      </c>
      <c r="AD229">
        <v>6394368</v>
      </c>
      <c r="AG229">
        <v>20849033</v>
      </c>
      <c r="AJ229">
        <v>192817</v>
      </c>
      <c r="AK229" t="s">
        <v>195</v>
      </c>
      <c r="AL229" t="s">
        <v>219</v>
      </c>
      <c r="AN229" t="s">
        <v>197</v>
      </c>
      <c r="AO229">
        <v>0.57489999999999997</v>
      </c>
      <c r="AP229">
        <v>121.080091</v>
      </c>
      <c r="AQ229" t="s">
        <v>54</v>
      </c>
      <c r="AR229" t="s">
        <v>198</v>
      </c>
      <c r="AS229" t="s">
        <v>199</v>
      </c>
      <c r="AT229" t="s">
        <v>200</v>
      </c>
    </row>
    <row r="230" spans="1:46" x14ac:dyDescent="0.3">
      <c r="A230">
        <v>3</v>
      </c>
      <c r="B230" s="5">
        <v>46302.45349537037</v>
      </c>
      <c r="C230" s="5">
        <v>46302.495138888888</v>
      </c>
      <c r="D230">
        <v>174687569</v>
      </c>
      <c r="E230">
        <v>2026</v>
      </c>
      <c r="F230">
        <v>10</v>
      </c>
      <c r="G230">
        <v>7</v>
      </c>
      <c r="H230" s="1" t="s">
        <v>184</v>
      </c>
      <c r="I230" t="s">
        <v>185</v>
      </c>
      <c r="J230" t="s">
        <v>186</v>
      </c>
      <c r="K230" t="s">
        <v>187</v>
      </c>
      <c r="L230" t="s">
        <v>188</v>
      </c>
      <c r="M230" t="s">
        <v>189</v>
      </c>
      <c r="N230" t="s">
        <v>190</v>
      </c>
      <c r="O230" s="6">
        <v>888291.46138899995</v>
      </c>
      <c r="P230" s="6">
        <v>-5.8914037357</v>
      </c>
      <c r="Q230" s="6">
        <v>-9.8206430000000005</v>
      </c>
      <c r="R230" s="6">
        <v>9.8206430000000005</v>
      </c>
      <c r="S230">
        <v>13</v>
      </c>
      <c r="T230" t="s">
        <v>191</v>
      </c>
      <c r="U230">
        <v>69</v>
      </c>
      <c r="V230" t="s">
        <v>192</v>
      </c>
      <c r="W230" s="1" t="s">
        <v>205</v>
      </c>
      <c r="X230" s="18">
        <v>0.59989999999999999</v>
      </c>
      <c r="Y230" s="18">
        <v>0.59989999999999999</v>
      </c>
      <c r="Z230" t="s">
        <v>194</v>
      </c>
      <c r="AA230">
        <v>193830</v>
      </c>
      <c r="AB230">
        <v>31134597</v>
      </c>
      <c r="AC230">
        <v>0</v>
      </c>
      <c r="AD230">
        <v>6394368</v>
      </c>
      <c r="AG230">
        <v>20969340</v>
      </c>
      <c r="AJ230">
        <v>197576</v>
      </c>
      <c r="AK230" t="s">
        <v>195</v>
      </c>
      <c r="AL230" t="s">
        <v>216</v>
      </c>
      <c r="AN230" t="s">
        <v>197</v>
      </c>
      <c r="AO230">
        <v>0.57489999999999997</v>
      </c>
      <c r="AP230">
        <v>120.04309120000001</v>
      </c>
      <c r="AQ230" t="s">
        <v>39</v>
      </c>
      <c r="AR230" t="s">
        <v>198</v>
      </c>
      <c r="AS230" t="s">
        <v>199</v>
      </c>
      <c r="AT230" t="s">
        <v>200</v>
      </c>
    </row>
    <row r="231" spans="1:46" x14ac:dyDescent="0.3">
      <c r="A231">
        <v>3</v>
      </c>
      <c r="B231" s="5">
        <v>46302.454583333332</v>
      </c>
      <c r="C231" s="5">
        <v>46302.49622685185</v>
      </c>
      <c r="D231">
        <v>174687704</v>
      </c>
      <c r="E231">
        <v>2026</v>
      </c>
      <c r="F231">
        <v>10</v>
      </c>
      <c r="G231">
        <v>7</v>
      </c>
      <c r="H231" s="1" t="s">
        <v>184</v>
      </c>
      <c r="I231" t="s">
        <v>185</v>
      </c>
      <c r="J231" t="s">
        <v>186</v>
      </c>
      <c r="K231" t="s">
        <v>187</v>
      </c>
      <c r="L231" t="s">
        <v>188</v>
      </c>
      <c r="M231" t="s">
        <v>189</v>
      </c>
      <c r="N231" t="s">
        <v>190</v>
      </c>
      <c r="O231" s="6">
        <v>888281.64074599999</v>
      </c>
      <c r="P231" s="6">
        <v>-4.4872573990999998</v>
      </c>
      <c r="Q231" s="6">
        <v>-7.4800089999999999</v>
      </c>
      <c r="R231" s="6">
        <v>7.4800089999999999</v>
      </c>
      <c r="S231">
        <v>13</v>
      </c>
      <c r="T231" t="s">
        <v>191</v>
      </c>
      <c r="U231">
        <v>69</v>
      </c>
      <c r="V231" t="s">
        <v>192</v>
      </c>
      <c r="W231" s="1" t="s">
        <v>203</v>
      </c>
      <c r="X231" s="18">
        <v>0.59989999999999999</v>
      </c>
      <c r="Y231" s="18">
        <v>0.59989999999999999</v>
      </c>
      <c r="Z231" t="s">
        <v>194</v>
      </c>
      <c r="AA231">
        <v>193830</v>
      </c>
      <c r="AB231">
        <v>31134617</v>
      </c>
      <c r="AC231">
        <v>0</v>
      </c>
      <c r="AD231">
        <v>6394368</v>
      </c>
      <c r="AG231">
        <v>20849033</v>
      </c>
      <c r="AJ231">
        <v>192817</v>
      </c>
      <c r="AK231" t="s">
        <v>195</v>
      </c>
      <c r="AL231" t="s">
        <v>219</v>
      </c>
      <c r="AN231" t="s">
        <v>197</v>
      </c>
      <c r="AO231">
        <v>0.57489999999999997</v>
      </c>
      <c r="AP231">
        <v>121.080091</v>
      </c>
      <c r="AQ231" t="s">
        <v>54</v>
      </c>
      <c r="AR231" t="s">
        <v>198</v>
      </c>
      <c r="AS231" t="s">
        <v>199</v>
      </c>
      <c r="AT231" t="s">
        <v>200</v>
      </c>
    </row>
    <row r="232" spans="1:46" x14ac:dyDescent="0.3">
      <c r="A232">
        <v>3</v>
      </c>
      <c r="B232" s="5">
        <v>46302.455555555556</v>
      </c>
      <c r="C232" s="5">
        <v>46302.497199074074</v>
      </c>
      <c r="D232">
        <v>174687901</v>
      </c>
      <c r="E232">
        <v>2026</v>
      </c>
      <c r="F232">
        <v>10</v>
      </c>
      <c r="G232">
        <v>7</v>
      </c>
      <c r="H232" s="1" t="s">
        <v>184</v>
      </c>
      <c r="I232" t="s">
        <v>185</v>
      </c>
      <c r="J232" t="s">
        <v>186</v>
      </c>
      <c r="K232" t="s">
        <v>187</v>
      </c>
      <c r="L232" t="s">
        <v>188</v>
      </c>
      <c r="M232" t="s">
        <v>189</v>
      </c>
      <c r="N232" t="s">
        <v>190</v>
      </c>
      <c r="O232" s="6">
        <v>888274.16073700006</v>
      </c>
      <c r="P232" s="6">
        <v>-4.4872573990999998</v>
      </c>
      <c r="Q232" s="6">
        <v>-7.4800089999999999</v>
      </c>
      <c r="R232" s="6">
        <v>7.4800089999999999</v>
      </c>
      <c r="S232">
        <v>13</v>
      </c>
      <c r="T232" t="s">
        <v>191</v>
      </c>
      <c r="U232">
        <v>69</v>
      </c>
      <c r="V232" t="s">
        <v>192</v>
      </c>
      <c r="W232" s="1" t="s">
        <v>203</v>
      </c>
      <c r="X232" s="18">
        <v>0.59989999999999999</v>
      </c>
      <c r="Y232" s="18">
        <v>0.59989999999999999</v>
      </c>
      <c r="Z232" t="s">
        <v>194</v>
      </c>
      <c r="AA232">
        <v>193830</v>
      </c>
      <c r="AB232">
        <v>31134641</v>
      </c>
      <c r="AC232">
        <v>0</v>
      </c>
      <c r="AD232">
        <v>6394368</v>
      </c>
      <c r="AG232">
        <v>20849033</v>
      </c>
      <c r="AJ232">
        <v>192817</v>
      </c>
      <c r="AK232" t="s">
        <v>195</v>
      </c>
      <c r="AL232" t="s">
        <v>219</v>
      </c>
      <c r="AN232" t="s">
        <v>197</v>
      </c>
      <c r="AO232">
        <v>0.57489999999999997</v>
      </c>
      <c r="AP232">
        <v>121.080091</v>
      </c>
      <c r="AQ232" t="s">
        <v>54</v>
      </c>
      <c r="AR232" t="s">
        <v>198</v>
      </c>
      <c r="AS232" t="s">
        <v>199</v>
      </c>
      <c r="AT232" t="s">
        <v>200</v>
      </c>
    </row>
    <row r="233" spans="1:46" x14ac:dyDescent="0.3">
      <c r="A233">
        <v>3</v>
      </c>
      <c r="B233" s="5">
        <v>46302.45721064815</v>
      </c>
      <c r="C233" s="5">
        <v>46302.498865740738</v>
      </c>
      <c r="D233">
        <v>174688266</v>
      </c>
      <c r="E233">
        <v>2026</v>
      </c>
      <c r="F233">
        <v>10</v>
      </c>
      <c r="G233">
        <v>7</v>
      </c>
      <c r="H233" s="1" t="s">
        <v>184</v>
      </c>
      <c r="I233" t="s">
        <v>185</v>
      </c>
      <c r="J233" t="s">
        <v>186</v>
      </c>
      <c r="K233" t="s">
        <v>187</v>
      </c>
      <c r="L233" t="s">
        <v>188</v>
      </c>
      <c r="M233" t="s">
        <v>189</v>
      </c>
      <c r="N233" t="s">
        <v>190</v>
      </c>
      <c r="O233" s="6">
        <v>888266.68072800001</v>
      </c>
      <c r="P233" s="6">
        <v>-5.8914037357</v>
      </c>
      <c r="Q233" s="6">
        <v>-9.8206430000000005</v>
      </c>
      <c r="R233" s="6">
        <v>9.8206430000000005</v>
      </c>
      <c r="S233">
        <v>13</v>
      </c>
      <c r="T233" t="s">
        <v>191</v>
      </c>
      <c r="U233">
        <v>69</v>
      </c>
      <c r="V233" t="s">
        <v>192</v>
      </c>
      <c r="W233" s="1" t="s">
        <v>205</v>
      </c>
      <c r="X233" s="18">
        <v>0.59989999999999999</v>
      </c>
      <c r="Y233" s="18">
        <v>0.59989999999999999</v>
      </c>
      <c r="Z233" t="s">
        <v>194</v>
      </c>
      <c r="AA233">
        <v>193830</v>
      </c>
      <c r="AB233">
        <v>31134694</v>
      </c>
      <c r="AC233">
        <v>0</v>
      </c>
      <c r="AD233">
        <v>6394368</v>
      </c>
      <c r="AG233">
        <v>20969340</v>
      </c>
      <c r="AJ233">
        <v>197576</v>
      </c>
      <c r="AK233" t="s">
        <v>195</v>
      </c>
      <c r="AL233" t="s">
        <v>216</v>
      </c>
      <c r="AN233" t="s">
        <v>197</v>
      </c>
      <c r="AO233">
        <v>0.57489999999999997</v>
      </c>
      <c r="AP233">
        <v>120.04309120000001</v>
      </c>
      <c r="AQ233" t="s">
        <v>39</v>
      </c>
      <c r="AR233" t="s">
        <v>198</v>
      </c>
      <c r="AS233" t="s">
        <v>199</v>
      </c>
      <c r="AT233" t="s">
        <v>200</v>
      </c>
    </row>
    <row r="234" spans="1:46" x14ac:dyDescent="0.3">
      <c r="A234">
        <v>3</v>
      </c>
      <c r="B234" s="5">
        <v>46302.457673611112</v>
      </c>
      <c r="C234" s="5">
        <v>46302.49931712963</v>
      </c>
      <c r="D234">
        <v>174688391</v>
      </c>
      <c r="E234">
        <v>2026</v>
      </c>
      <c r="F234">
        <v>10</v>
      </c>
      <c r="G234">
        <v>7</v>
      </c>
      <c r="H234" s="1" t="s">
        <v>184</v>
      </c>
      <c r="I234" t="s">
        <v>185</v>
      </c>
      <c r="J234" t="s">
        <v>186</v>
      </c>
      <c r="K234" t="s">
        <v>187</v>
      </c>
      <c r="L234" t="s">
        <v>188</v>
      </c>
      <c r="M234" t="s">
        <v>189</v>
      </c>
      <c r="N234" t="s">
        <v>190</v>
      </c>
      <c r="O234" s="6">
        <v>888256.86008500005</v>
      </c>
      <c r="P234" s="6">
        <v>-4.4719893441999998</v>
      </c>
      <c r="Q234" s="6">
        <v>-7.4545579999999996</v>
      </c>
      <c r="R234" s="6">
        <v>7.4545579999999996</v>
      </c>
      <c r="S234">
        <v>13</v>
      </c>
      <c r="T234" t="s">
        <v>191</v>
      </c>
      <c r="U234">
        <v>69</v>
      </c>
      <c r="V234" t="s">
        <v>192</v>
      </c>
      <c r="W234" s="1" t="s">
        <v>201</v>
      </c>
      <c r="X234" s="18">
        <v>0.59989999999999999</v>
      </c>
      <c r="Y234" s="18">
        <v>0.59989999999999999</v>
      </c>
      <c r="Z234" t="s">
        <v>194</v>
      </c>
      <c r="AA234">
        <v>193830</v>
      </c>
      <c r="AB234">
        <v>31134735</v>
      </c>
      <c r="AC234">
        <v>0</v>
      </c>
      <c r="AD234">
        <v>6394368</v>
      </c>
      <c r="AG234">
        <v>20712950</v>
      </c>
      <c r="AJ234">
        <v>194436</v>
      </c>
      <c r="AK234" t="s">
        <v>195</v>
      </c>
      <c r="AL234" t="s">
        <v>202</v>
      </c>
      <c r="AN234" t="s">
        <v>197</v>
      </c>
      <c r="AO234">
        <v>0.57489999999999997</v>
      </c>
      <c r="AP234">
        <v>121.09409100000001</v>
      </c>
      <c r="AQ234" t="s">
        <v>56</v>
      </c>
      <c r="AR234" t="s">
        <v>198</v>
      </c>
      <c r="AS234" t="s">
        <v>199</v>
      </c>
      <c r="AT234" t="s">
        <v>200</v>
      </c>
    </row>
    <row r="235" spans="1:46" x14ac:dyDescent="0.3">
      <c r="A235">
        <v>3</v>
      </c>
      <c r="B235" s="5">
        <v>46302.458194444444</v>
      </c>
      <c r="C235" s="5">
        <v>46302.499837962961</v>
      </c>
      <c r="D235">
        <v>174688472</v>
      </c>
      <c r="E235">
        <v>2026</v>
      </c>
      <c r="F235">
        <v>10</v>
      </c>
      <c r="G235">
        <v>7</v>
      </c>
      <c r="H235" s="1" t="s">
        <v>184</v>
      </c>
      <c r="I235" t="s">
        <v>185</v>
      </c>
      <c r="J235" t="s">
        <v>186</v>
      </c>
      <c r="K235" t="s">
        <v>187</v>
      </c>
      <c r="L235" t="s">
        <v>188</v>
      </c>
      <c r="M235" t="s">
        <v>189</v>
      </c>
      <c r="N235" t="s">
        <v>190</v>
      </c>
      <c r="O235" s="6">
        <v>888249.40552699997</v>
      </c>
      <c r="P235" s="6">
        <v>-4.4719893441999998</v>
      </c>
      <c r="Q235" s="6">
        <v>-7.4545579999999996</v>
      </c>
      <c r="R235" s="6">
        <v>7.4545579999999996</v>
      </c>
      <c r="S235">
        <v>13</v>
      </c>
      <c r="T235" t="s">
        <v>191</v>
      </c>
      <c r="U235">
        <v>69</v>
      </c>
      <c r="V235" t="s">
        <v>192</v>
      </c>
      <c r="W235" s="1" t="s">
        <v>201</v>
      </c>
      <c r="X235" s="18">
        <v>0.59989999999999999</v>
      </c>
      <c r="Y235" s="18">
        <v>0.59989999999999999</v>
      </c>
      <c r="Z235" t="s">
        <v>194</v>
      </c>
      <c r="AA235">
        <v>193830</v>
      </c>
      <c r="AB235">
        <v>31134752</v>
      </c>
      <c r="AC235">
        <v>0</v>
      </c>
      <c r="AD235">
        <v>6394368</v>
      </c>
      <c r="AG235">
        <v>20712950</v>
      </c>
      <c r="AJ235">
        <v>194436</v>
      </c>
      <c r="AK235" t="s">
        <v>195</v>
      </c>
      <c r="AL235" t="s">
        <v>202</v>
      </c>
      <c r="AN235" t="s">
        <v>197</v>
      </c>
      <c r="AO235">
        <v>0.57489999999999997</v>
      </c>
      <c r="AP235">
        <v>121.09409100000001</v>
      </c>
      <c r="AQ235" t="s">
        <v>56</v>
      </c>
      <c r="AR235" t="s">
        <v>198</v>
      </c>
      <c r="AS235" t="s">
        <v>199</v>
      </c>
      <c r="AT235" t="s">
        <v>200</v>
      </c>
    </row>
    <row r="236" spans="1:46" x14ac:dyDescent="0.3">
      <c r="A236">
        <v>3</v>
      </c>
      <c r="B236" s="5">
        <v>46302.458865740744</v>
      </c>
      <c r="C236" s="5">
        <v>46302.500509259262</v>
      </c>
      <c r="D236">
        <v>174688663</v>
      </c>
      <c r="E236">
        <v>2026</v>
      </c>
      <c r="F236">
        <v>10</v>
      </c>
      <c r="G236">
        <v>7</v>
      </c>
      <c r="H236" s="1" t="s">
        <v>184</v>
      </c>
      <c r="I236" t="s">
        <v>185</v>
      </c>
      <c r="J236" t="s">
        <v>186</v>
      </c>
      <c r="K236" t="s">
        <v>187</v>
      </c>
      <c r="L236" t="s">
        <v>188</v>
      </c>
      <c r="M236" t="s">
        <v>189</v>
      </c>
      <c r="N236" t="s">
        <v>190</v>
      </c>
      <c r="O236" s="6">
        <v>888241.950969</v>
      </c>
      <c r="P236" s="6">
        <v>-4.4872573990999998</v>
      </c>
      <c r="Q236" s="6">
        <v>-7.4800089999999999</v>
      </c>
      <c r="R236" s="6">
        <v>7.4800089999999999</v>
      </c>
      <c r="S236">
        <v>13</v>
      </c>
      <c r="T236" t="s">
        <v>191</v>
      </c>
      <c r="U236">
        <v>69</v>
      </c>
      <c r="V236" t="s">
        <v>192</v>
      </c>
      <c r="W236" s="1" t="s">
        <v>203</v>
      </c>
      <c r="X236" s="18">
        <v>0.59989999999999999</v>
      </c>
      <c r="Y236" s="18">
        <v>0.59989999999999999</v>
      </c>
      <c r="Z236" t="s">
        <v>194</v>
      </c>
      <c r="AA236">
        <v>193830</v>
      </c>
      <c r="AB236">
        <v>31134773</v>
      </c>
      <c r="AC236">
        <v>0</v>
      </c>
      <c r="AD236">
        <v>6394368</v>
      </c>
      <c r="AG236">
        <v>20849033</v>
      </c>
      <c r="AJ236">
        <v>192817</v>
      </c>
      <c r="AK236" t="s">
        <v>195</v>
      </c>
      <c r="AL236" t="s">
        <v>219</v>
      </c>
      <c r="AN236" t="s">
        <v>197</v>
      </c>
      <c r="AO236">
        <v>0.57489999999999997</v>
      </c>
      <c r="AP236">
        <v>121.080091</v>
      </c>
      <c r="AQ236" t="s">
        <v>54</v>
      </c>
      <c r="AR236" t="s">
        <v>198</v>
      </c>
      <c r="AS236" t="s">
        <v>199</v>
      </c>
      <c r="AT236" t="s">
        <v>200</v>
      </c>
    </row>
    <row r="237" spans="1:46" x14ac:dyDescent="0.3">
      <c r="A237">
        <v>3</v>
      </c>
      <c r="B237" s="5">
        <v>46302.459756944445</v>
      </c>
      <c r="C237" s="5">
        <v>46302.501400462963</v>
      </c>
      <c r="D237">
        <v>174688842</v>
      </c>
      <c r="E237">
        <v>2026</v>
      </c>
      <c r="F237">
        <v>10</v>
      </c>
      <c r="G237">
        <v>7</v>
      </c>
      <c r="H237" s="1" t="s">
        <v>184</v>
      </c>
      <c r="I237" t="s">
        <v>185</v>
      </c>
      <c r="J237" t="s">
        <v>186</v>
      </c>
      <c r="K237" t="s">
        <v>187</v>
      </c>
      <c r="L237" t="s">
        <v>188</v>
      </c>
      <c r="M237" t="s">
        <v>189</v>
      </c>
      <c r="N237" t="s">
        <v>190</v>
      </c>
      <c r="O237" s="6">
        <v>888234.47095999995</v>
      </c>
      <c r="P237" s="6">
        <v>-8.9212682740999991</v>
      </c>
      <c r="Q237" s="6">
        <v>-14.871259</v>
      </c>
      <c r="R237" s="6">
        <v>14.871259</v>
      </c>
      <c r="S237">
        <v>13</v>
      </c>
      <c r="T237" t="s">
        <v>191</v>
      </c>
      <c r="U237">
        <v>69</v>
      </c>
      <c r="V237" t="s">
        <v>192</v>
      </c>
      <c r="W237" s="1" t="s">
        <v>214</v>
      </c>
      <c r="X237" s="18">
        <v>0.59989999999999999</v>
      </c>
      <c r="Y237" s="18">
        <v>0.59989999999999999</v>
      </c>
      <c r="Z237" t="s">
        <v>194</v>
      </c>
      <c r="AA237">
        <v>193830</v>
      </c>
      <c r="AB237">
        <v>31134811</v>
      </c>
      <c r="AC237">
        <v>0</v>
      </c>
      <c r="AD237">
        <v>6394368</v>
      </c>
      <c r="AG237">
        <v>20916065</v>
      </c>
      <c r="AJ237">
        <v>195123</v>
      </c>
      <c r="AK237" t="s">
        <v>195</v>
      </c>
      <c r="AL237" t="s">
        <v>215</v>
      </c>
      <c r="AN237" t="s">
        <v>197</v>
      </c>
      <c r="AO237">
        <v>0.57489999999999997</v>
      </c>
      <c r="AP237">
        <v>121.00909015000001</v>
      </c>
      <c r="AQ237" t="s">
        <v>80</v>
      </c>
      <c r="AR237" t="s">
        <v>198</v>
      </c>
      <c r="AS237" t="s">
        <v>199</v>
      </c>
      <c r="AT237" t="s">
        <v>200</v>
      </c>
    </row>
    <row r="238" spans="1:46" x14ac:dyDescent="0.3">
      <c r="A238">
        <v>3</v>
      </c>
      <c r="B238" s="5">
        <v>46302.460810185185</v>
      </c>
      <c r="C238" s="5">
        <v>46302.502453703702</v>
      </c>
      <c r="D238">
        <v>174689066</v>
      </c>
      <c r="E238">
        <v>2026</v>
      </c>
      <c r="F238">
        <v>10</v>
      </c>
      <c r="G238">
        <v>7</v>
      </c>
      <c r="H238" s="1" t="s">
        <v>184</v>
      </c>
      <c r="I238" t="s">
        <v>185</v>
      </c>
      <c r="J238" t="s">
        <v>186</v>
      </c>
      <c r="K238" t="s">
        <v>187</v>
      </c>
      <c r="L238" t="s">
        <v>188</v>
      </c>
      <c r="M238" t="s">
        <v>189</v>
      </c>
      <c r="N238" t="s">
        <v>190</v>
      </c>
      <c r="O238" s="6">
        <v>888219.59970100003</v>
      </c>
      <c r="P238" s="6">
        <v>-4.4872573990999998</v>
      </c>
      <c r="Q238" s="6">
        <v>-7.4800089999999999</v>
      </c>
      <c r="R238" s="6">
        <v>7.4800089999999999</v>
      </c>
      <c r="S238">
        <v>13</v>
      </c>
      <c r="T238" t="s">
        <v>191</v>
      </c>
      <c r="U238">
        <v>69</v>
      </c>
      <c r="V238" t="s">
        <v>192</v>
      </c>
      <c r="W238" s="1" t="s">
        <v>203</v>
      </c>
      <c r="X238" s="18">
        <v>0.59989999999999999</v>
      </c>
      <c r="Y238" s="18">
        <v>0.59989999999999999</v>
      </c>
      <c r="Z238" t="s">
        <v>194</v>
      </c>
      <c r="AA238">
        <v>193830</v>
      </c>
      <c r="AB238">
        <v>31134850</v>
      </c>
      <c r="AC238">
        <v>0</v>
      </c>
      <c r="AD238">
        <v>6394368</v>
      </c>
      <c r="AG238">
        <v>20849033</v>
      </c>
      <c r="AJ238">
        <v>192817</v>
      </c>
      <c r="AK238" t="s">
        <v>195</v>
      </c>
      <c r="AL238" t="s">
        <v>219</v>
      </c>
      <c r="AN238" t="s">
        <v>197</v>
      </c>
      <c r="AO238">
        <v>0.57489999999999997</v>
      </c>
      <c r="AP238">
        <v>121.080091</v>
      </c>
      <c r="AQ238" t="s">
        <v>54</v>
      </c>
      <c r="AR238" t="s">
        <v>198</v>
      </c>
      <c r="AS238" t="s">
        <v>199</v>
      </c>
      <c r="AT238" t="s">
        <v>200</v>
      </c>
    </row>
    <row r="239" spans="1:46" x14ac:dyDescent="0.3">
      <c r="A239">
        <v>3</v>
      </c>
      <c r="B239" s="5">
        <v>46302.461157407408</v>
      </c>
      <c r="C239" s="5">
        <v>46302.502800925926</v>
      </c>
      <c r="D239">
        <v>174689161</v>
      </c>
      <c r="E239">
        <v>2026</v>
      </c>
      <c r="F239">
        <v>10</v>
      </c>
      <c r="G239">
        <v>7</v>
      </c>
      <c r="H239" s="1" t="s">
        <v>184</v>
      </c>
      <c r="I239" t="s">
        <v>185</v>
      </c>
      <c r="J239" t="s">
        <v>186</v>
      </c>
      <c r="K239" t="s">
        <v>187</v>
      </c>
      <c r="L239" t="s">
        <v>188</v>
      </c>
      <c r="M239" t="s">
        <v>189</v>
      </c>
      <c r="N239" t="s">
        <v>190</v>
      </c>
      <c r="O239" s="6">
        <v>888212.11969199998</v>
      </c>
      <c r="P239" s="6">
        <v>-4.4719893441999998</v>
      </c>
      <c r="Q239" s="6">
        <v>-7.4545579999999996</v>
      </c>
      <c r="R239" s="6">
        <v>7.4545579999999996</v>
      </c>
      <c r="S239">
        <v>13</v>
      </c>
      <c r="T239" t="s">
        <v>191</v>
      </c>
      <c r="U239">
        <v>69</v>
      </c>
      <c r="V239" t="s">
        <v>192</v>
      </c>
      <c r="W239" s="1" t="s">
        <v>201</v>
      </c>
      <c r="X239" s="18">
        <v>0.59989999999999999</v>
      </c>
      <c r="Y239" s="18">
        <v>0.59989999999999999</v>
      </c>
      <c r="Z239" t="s">
        <v>194</v>
      </c>
      <c r="AA239">
        <v>193830</v>
      </c>
      <c r="AB239">
        <v>31134860</v>
      </c>
      <c r="AC239">
        <v>0</v>
      </c>
      <c r="AD239">
        <v>6394368</v>
      </c>
      <c r="AG239">
        <v>20712950</v>
      </c>
      <c r="AJ239">
        <v>194436</v>
      </c>
      <c r="AK239" t="s">
        <v>195</v>
      </c>
      <c r="AL239" t="s">
        <v>202</v>
      </c>
      <c r="AN239" t="s">
        <v>197</v>
      </c>
      <c r="AO239">
        <v>0.57489999999999997</v>
      </c>
      <c r="AP239">
        <v>121.09409100000001</v>
      </c>
      <c r="AQ239" t="s">
        <v>56</v>
      </c>
      <c r="AR239" t="s">
        <v>198</v>
      </c>
      <c r="AS239" t="s">
        <v>199</v>
      </c>
      <c r="AT239" t="s">
        <v>200</v>
      </c>
    </row>
    <row r="240" spans="1:46" x14ac:dyDescent="0.3">
      <c r="A240">
        <v>3</v>
      </c>
      <c r="B240" s="5">
        <v>46302.461643518516</v>
      </c>
      <c r="C240" s="5">
        <v>46302.503287037034</v>
      </c>
      <c r="D240">
        <v>174689302</v>
      </c>
      <c r="E240">
        <v>2026</v>
      </c>
      <c r="F240">
        <v>10</v>
      </c>
      <c r="G240">
        <v>7</v>
      </c>
      <c r="H240" s="1" t="s">
        <v>184</v>
      </c>
      <c r="I240" t="s">
        <v>185</v>
      </c>
      <c r="J240" t="s">
        <v>186</v>
      </c>
      <c r="K240" t="s">
        <v>187</v>
      </c>
      <c r="L240" t="s">
        <v>188</v>
      </c>
      <c r="M240" t="s">
        <v>189</v>
      </c>
      <c r="N240" t="s">
        <v>190</v>
      </c>
      <c r="O240" s="6">
        <v>888204.66513400001</v>
      </c>
      <c r="P240" s="6">
        <v>-5.8914037357</v>
      </c>
      <c r="Q240" s="6">
        <v>-9.8206430000000005</v>
      </c>
      <c r="R240" s="6">
        <v>9.8206430000000005</v>
      </c>
      <c r="S240">
        <v>13</v>
      </c>
      <c r="T240" t="s">
        <v>191</v>
      </c>
      <c r="U240">
        <v>69</v>
      </c>
      <c r="V240" t="s">
        <v>192</v>
      </c>
      <c r="W240" s="1" t="s">
        <v>205</v>
      </c>
      <c r="X240" s="18">
        <v>0.59989999999999999</v>
      </c>
      <c r="Y240" s="18">
        <v>0.59989999999999999</v>
      </c>
      <c r="Z240" t="s">
        <v>194</v>
      </c>
      <c r="AA240">
        <v>193830</v>
      </c>
      <c r="AB240">
        <v>31134876</v>
      </c>
      <c r="AC240">
        <v>0</v>
      </c>
      <c r="AD240">
        <v>6394368</v>
      </c>
      <c r="AG240">
        <v>20969340</v>
      </c>
      <c r="AJ240">
        <v>197576</v>
      </c>
      <c r="AK240" t="s">
        <v>195</v>
      </c>
      <c r="AL240" t="s">
        <v>216</v>
      </c>
      <c r="AN240" t="s">
        <v>197</v>
      </c>
      <c r="AO240">
        <v>0.57489999999999997</v>
      </c>
      <c r="AP240">
        <v>120.04309120000001</v>
      </c>
      <c r="AQ240" t="s">
        <v>39</v>
      </c>
      <c r="AR240" t="s">
        <v>198</v>
      </c>
      <c r="AS240" t="s">
        <v>199</v>
      </c>
      <c r="AT240" t="s">
        <v>200</v>
      </c>
    </row>
    <row r="241" spans="1:46" x14ac:dyDescent="0.3">
      <c r="A241">
        <v>3</v>
      </c>
      <c r="B241" s="5">
        <v>46302.461782407408</v>
      </c>
      <c r="C241" s="5">
        <v>46302.503425925926</v>
      </c>
      <c r="D241">
        <v>174689347</v>
      </c>
      <c r="E241">
        <v>2026</v>
      </c>
      <c r="F241">
        <v>10</v>
      </c>
      <c r="G241">
        <v>7</v>
      </c>
      <c r="H241" s="1" t="s">
        <v>184</v>
      </c>
      <c r="I241" t="s">
        <v>185</v>
      </c>
      <c r="J241" t="s">
        <v>186</v>
      </c>
      <c r="K241" t="s">
        <v>187</v>
      </c>
      <c r="L241" t="s">
        <v>188</v>
      </c>
      <c r="M241" t="s">
        <v>189</v>
      </c>
      <c r="N241" t="s">
        <v>190</v>
      </c>
      <c r="O241" s="6">
        <v>888194.84449100005</v>
      </c>
      <c r="P241" s="6">
        <v>-4.4719893441999998</v>
      </c>
      <c r="Q241" s="6">
        <v>-7.4545579999999996</v>
      </c>
      <c r="R241" s="6">
        <v>7.4545579999999996</v>
      </c>
      <c r="S241">
        <v>13</v>
      </c>
      <c r="T241" t="s">
        <v>191</v>
      </c>
      <c r="U241">
        <v>69</v>
      </c>
      <c r="V241" t="s">
        <v>192</v>
      </c>
      <c r="W241" s="1" t="s">
        <v>201</v>
      </c>
      <c r="X241" s="18">
        <v>0.59989999999999999</v>
      </c>
      <c r="Y241" s="18">
        <v>0.59989999999999999</v>
      </c>
      <c r="Z241" t="s">
        <v>194</v>
      </c>
      <c r="AA241">
        <v>193830</v>
      </c>
      <c r="AB241">
        <v>31134882</v>
      </c>
      <c r="AC241">
        <v>0</v>
      </c>
      <c r="AD241">
        <v>6394368</v>
      </c>
      <c r="AG241">
        <v>20712950</v>
      </c>
      <c r="AJ241">
        <v>194436</v>
      </c>
      <c r="AK241" t="s">
        <v>195</v>
      </c>
      <c r="AL241" t="s">
        <v>202</v>
      </c>
      <c r="AN241" t="s">
        <v>197</v>
      </c>
      <c r="AO241">
        <v>0.57489999999999997</v>
      </c>
      <c r="AP241">
        <v>121.09409100000001</v>
      </c>
      <c r="AQ241" t="s">
        <v>56</v>
      </c>
      <c r="AR241" t="s">
        <v>198</v>
      </c>
      <c r="AS241" t="s">
        <v>199</v>
      </c>
      <c r="AT241" t="s">
        <v>200</v>
      </c>
    </row>
    <row r="242" spans="1:46" x14ac:dyDescent="0.3">
      <c r="A242">
        <v>3</v>
      </c>
      <c r="B242" s="5">
        <v>46302.46329861111</v>
      </c>
      <c r="C242" s="5">
        <v>46302.504953703705</v>
      </c>
      <c r="D242">
        <v>174689698</v>
      </c>
      <c r="E242">
        <v>2026</v>
      </c>
      <c r="F242">
        <v>10</v>
      </c>
      <c r="G242">
        <v>7</v>
      </c>
      <c r="H242" s="1" t="s">
        <v>184</v>
      </c>
      <c r="I242" t="s">
        <v>185</v>
      </c>
      <c r="J242" t="s">
        <v>186</v>
      </c>
      <c r="K242" t="s">
        <v>187</v>
      </c>
      <c r="L242" t="s">
        <v>188</v>
      </c>
      <c r="M242" t="s">
        <v>189</v>
      </c>
      <c r="N242" t="s">
        <v>190</v>
      </c>
      <c r="O242" s="6">
        <v>888187.38993299997</v>
      </c>
      <c r="P242" s="6">
        <v>-5.8914037357</v>
      </c>
      <c r="Q242" s="6">
        <v>-9.8206430000000005</v>
      </c>
      <c r="R242" s="6">
        <v>9.8206430000000005</v>
      </c>
      <c r="S242">
        <v>13</v>
      </c>
      <c r="T242" t="s">
        <v>191</v>
      </c>
      <c r="U242">
        <v>69</v>
      </c>
      <c r="V242" t="s">
        <v>192</v>
      </c>
      <c r="W242" s="1" t="s">
        <v>205</v>
      </c>
      <c r="X242" s="18">
        <v>0.59989999999999999</v>
      </c>
      <c r="Y242" s="18">
        <v>0.59989999999999999</v>
      </c>
      <c r="Z242" t="s">
        <v>194</v>
      </c>
      <c r="AA242">
        <v>193830</v>
      </c>
      <c r="AB242">
        <v>31134928</v>
      </c>
      <c r="AC242">
        <v>0</v>
      </c>
      <c r="AD242">
        <v>6394368</v>
      </c>
      <c r="AG242">
        <v>20969340</v>
      </c>
      <c r="AJ242">
        <v>197576</v>
      </c>
      <c r="AK242" t="s">
        <v>195</v>
      </c>
      <c r="AL242" t="s">
        <v>216</v>
      </c>
      <c r="AN242" t="s">
        <v>197</v>
      </c>
      <c r="AO242">
        <v>0.57489999999999997</v>
      </c>
      <c r="AP242">
        <v>120.04309120000001</v>
      </c>
      <c r="AQ242" t="s">
        <v>39</v>
      </c>
      <c r="AR242" t="s">
        <v>198</v>
      </c>
      <c r="AS242" t="s">
        <v>199</v>
      </c>
      <c r="AT242" t="s">
        <v>200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Ranges>
  <Table name="Active_Sched">
    <CurrentColumnCount>13</CurrentColumnCount>
  </Table>
  <Table name="GL_Table">
    <CurrentColumnCount>46</CurrentColumnCount>
  </Table>
</TableRanges>
</file>

<file path=customXml/itemProps1.xml><?xml version="1.0" encoding="utf-8"?>
<ds:datastoreItem xmlns:ds="http://schemas.openxmlformats.org/officeDocument/2006/customXml" ds:itemID="{23983F3B-BCBE-4C95-9E8D-EBB0A76A66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Active_Sched</vt:lpstr>
      <vt:lpstr>Sheet2</vt:lpstr>
    </vt:vector>
  </TitlesOfParts>
  <Company>Airlite Plastics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Baier</dc:creator>
  <cp:lastModifiedBy>Jeff Baier</cp:lastModifiedBy>
  <dcterms:created xsi:type="dcterms:W3CDTF">2026-09-29T14:23:32Z</dcterms:created>
  <dcterms:modified xsi:type="dcterms:W3CDTF">2026-10-07T16:08:42Z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 Version">
    <vt:lpwstr>25.2</vt:lpwstr>
  </property>
</Properties>
</file>