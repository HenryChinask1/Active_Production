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baier\Desktop\Active_Production\"/>
    </mc:Choice>
  </mc:AlternateContent>
  <xr:revisionPtr revIDLastSave="0" documentId="13_ncr:1_{24552A72-9BC3-4C9F-BA32-8D2CFB5D04C9}" xr6:coauthVersionLast="47" xr6:coauthVersionMax="47" xr10:uidLastSave="{00000000-0000-0000-0000-000000000000}"/>
  <bookViews>
    <workbookView xWindow="-14535" yWindow="-16320" windowWidth="29040" windowHeight="15720" xr2:uid="{16538336-8318-436F-AD33-19684E5B6975}"/>
  </bookViews>
  <sheets>
    <sheet name="Active_Sched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O13" i="1" s="1"/>
  <c r="N14" i="1"/>
  <c r="O14" i="1" s="1"/>
  <c r="N15" i="1"/>
  <c r="O15" i="1" s="1"/>
  <c r="N16" i="1"/>
  <c r="O16" i="1" s="1"/>
  <c r="N17" i="1"/>
  <c r="O17" i="1" s="1"/>
  <c r="N18" i="1"/>
  <c r="O18" i="1" s="1"/>
  <c r="N19" i="1"/>
  <c r="O19" i="1" s="1"/>
  <c r="N20" i="1"/>
  <c r="N21" i="1"/>
  <c r="N22" i="1"/>
  <c r="N23" i="1"/>
  <c r="N24" i="1"/>
  <c r="N25" i="1"/>
  <c r="N26" i="1"/>
  <c r="N27" i="1"/>
  <c r="N28" i="1"/>
  <c r="O28" i="1" s="1"/>
  <c r="N29" i="1"/>
  <c r="N30" i="1"/>
  <c r="O30" i="1" s="1"/>
  <c r="N31" i="1"/>
  <c r="O31" i="1" s="1"/>
  <c r="N32" i="1"/>
  <c r="N33" i="1"/>
  <c r="O33" i="1" s="1"/>
  <c r="N34" i="1"/>
  <c r="N35" i="1"/>
  <c r="N36" i="1"/>
  <c r="N37" i="1"/>
  <c r="N38" i="1"/>
  <c r="N39" i="1"/>
  <c r="N40" i="1"/>
  <c r="N41" i="1"/>
  <c r="N42" i="1"/>
  <c r="O42" i="1" s="1"/>
  <c r="N43" i="1"/>
  <c r="N44" i="1"/>
  <c r="O44" i="1" s="1"/>
  <c r="N45" i="1"/>
  <c r="O45" i="1" s="1"/>
  <c r="N46" i="1"/>
  <c r="N47" i="1"/>
  <c r="O47" i="1" s="1"/>
  <c r="N48" i="1"/>
  <c r="N49" i="1"/>
  <c r="N50" i="1"/>
  <c r="N51" i="1"/>
  <c r="N52" i="1"/>
  <c r="N53" i="1"/>
  <c r="N54" i="1"/>
  <c r="N55" i="1"/>
  <c r="N56" i="1"/>
  <c r="O56" i="1" s="1"/>
  <c r="N57" i="1"/>
  <c r="N58" i="1"/>
  <c r="O58" i="1" s="1"/>
  <c r="N59" i="1"/>
  <c r="O59" i="1" s="1"/>
  <c r="N60" i="1"/>
  <c r="N61" i="1"/>
  <c r="O61" i="1" s="1"/>
  <c r="N62" i="1"/>
  <c r="N63" i="1"/>
  <c r="N64" i="1"/>
  <c r="N65" i="1"/>
  <c r="N66" i="1"/>
  <c r="N67" i="1"/>
  <c r="N6" i="1"/>
  <c r="O6" i="1"/>
  <c r="O7" i="1"/>
  <c r="O8" i="1"/>
  <c r="O9" i="1"/>
  <c r="O10" i="1"/>
  <c r="O11" i="1"/>
  <c r="O12" i="1"/>
  <c r="O20" i="1"/>
  <c r="O21" i="1"/>
  <c r="O22" i="1"/>
  <c r="O23" i="1"/>
  <c r="O24" i="1"/>
  <c r="O25" i="1"/>
  <c r="O26" i="1"/>
  <c r="O27" i="1"/>
  <c r="O29" i="1"/>
  <c r="O32" i="1"/>
  <c r="O34" i="1"/>
  <c r="O35" i="1"/>
  <c r="O36" i="1"/>
  <c r="O37" i="1"/>
  <c r="O38" i="1"/>
  <c r="O39" i="1"/>
  <c r="O40" i="1"/>
  <c r="O41" i="1"/>
  <c r="O43" i="1"/>
  <c r="O46" i="1"/>
  <c r="O48" i="1"/>
  <c r="O49" i="1"/>
  <c r="O50" i="1"/>
  <c r="O51" i="1"/>
  <c r="O52" i="1"/>
  <c r="O53" i="1"/>
  <c r="O54" i="1"/>
  <c r="O55" i="1"/>
  <c r="O57" i="1"/>
  <c r="O60" i="1"/>
  <c r="O62" i="1"/>
  <c r="O63" i="1"/>
  <c r="O64" i="1"/>
  <c r="O65" i="1"/>
  <c r="O66" i="1"/>
  <c r="O67" i="1"/>
  <c r="P6" i="1" a="1"/>
  <c r="P6" i="1" s="1"/>
  <c r="P7" i="1" a="1"/>
  <c r="P7" i="1" s="1"/>
  <c r="P8" i="1" a="1"/>
  <c r="P8" i="1" s="1"/>
  <c r="P9" i="1" a="1"/>
  <c r="P9" i="1" s="1"/>
  <c r="P10" i="1" a="1"/>
  <c r="P10" i="1" s="1"/>
  <c r="P11" i="1" a="1"/>
  <c r="P11" i="1" s="1"/>
  <c r="P12" i="1" a="1"/>
  <c r="P12" i="1" s="1"/>
  <c r="P13" i="1" a="1"/>
  <c r="P13" i="1" s="1"/>
  <c r="P14" i="1" a="1"/>
  <c r="P14" i="1" s="1"/>
  <c r="P15" i="1" a="1"/>
  <c r="P15" i="1" s="1"/>
  <c r="P16" i="1" a="1"/>
  <c r="P16" i="1" s="1"/>
  <c r="P17" i="1" a="1"/>
  <c r="P17" i="1" s="1"/>
  <c r="P18" i="1" a="1"/>
  <c r="P18" i="1" s="1"/>
  <c r="P19" i="1" a="1"/>
  <c r="P19" i="1" s="1"/>
  <c r="P20" i="1" a="1"/>
  <c r="P20" i="1" s="1"/>
  <c r="P21" i="1" a="1"/>
  <c r="P21" i="1" s="1"/>
  <c r="P22" i="1" a="1"/>
  <c r="P22" i="1" s="1"/>
  <c r="P23" i="1" a="1"/>
  <c r="P23" i="1" s="1"/>
  <c r="P24" i="1" a="1"/>
  <c r="P24" i="1" s="1"/>
  <c r="P25" i="1" a="1"/>
  <c r="P25" i="1" s="1"/>
  <c r="P26" i="1" a="1"/>
  <c r="P26" i="1" s="1"/>
  <c r="P27" i="1" a="1"/>
  <c r="P27" i="1" s="1"/>
  <c r="P28" i="1" a="1"/>
  <c r="P28" i="1" s="1"/>
  <c r="P29" i="1" a="1"/>
  <c r="P29" i="1" s="1"/>
  <c r="P30" i="1" a="1"/>
  <c r="P30" i="1" s="1"/>
  <c r="P31" i="1" a="1"/>
  <c r="P31" i="1" s="1"/>
  <c r="P32" i="1" a="1"/>
  <c r="P32" i="1" s="1"/>
  <c r="P33" i="1" a="1"/>
  <c r="P33" i="1" s="1"/>
  <c r="P34" i="1" a="1"/>
  <c r="P34" i="1" s="1"/>
  <c r="P35" i="1" a="1"/>
  <c r="P35" i="1" s="1"/>
  <c r="P36" i="1" a="1"/>
  <c r="P36" i="1" s="1"/>
  <c r="P37" i="1" a="1"/>
  <c r="P37" i="1" s="1"/>
  <c r="P38" i="1" a="1"/>
  <c r="P38" i="1" s="1"/>
  <c r="P39" i="1" a="1"/>
  <c r="P39" i="1" s="1"/>
  <c r="P40" i="1" a="1"/>
  <c r="P40" i="1" s="1"/>
  <c r="P41" i="1" a="1"/>
  <c r="P41" i="1" s="1"/>
  <c r="P42" i="1" a="1"/>
  <c r="P42" i="1" s="1"/>
  <c r="P43" i="1" a="1"/>
  <c r="P43" i="1" s="1"/>
  <c r="P44" i="1" a="1"/>
  <c r="P44" i="1" s="1"/>
  <c r="P45" i="1" a="1"/>
  <c r="P45" i="1" s="1"/>
  <c r="P46" i="1" a="1"/>
  <c r="P46" i="1" s="1"/>
  <c r="P47" i="1" a="1"/>
  <c r="P47" i="1" s="1"/>
  <c r="P48" i="1" a="1"/>
  <c r="P48" i="1" s="1"/>
  <c r="P49" i="1" a="1"/>
  <c r="P49" i="1" s="1"/>
  <c r="P50" i="1" a="1"/>
  <c r="P50" i="1" s="1"/>
  <c r="P51" i="1" a="1"/>
  <c r="P51" i="1" s="1"/>
  <c r="P52" i="1" a="1"/>
  <c r="P52" i="1" s="1"/>
  <c r="P53" i="1" a="1"/>
  <c r="P53" i="1" s="1"/>
  <c r="P54" i="1" a="1"/>
  <c r="P54" i="1" s="1"/>
  <c r="P55" i="1" a="1"/>
  <c r="P55" i="1" s="1"/>
  <c r="P56" i="1" a="1"/>
  <c r="P56" i="1" s="1"/>
  <c r="P57" i="1" a="1"/>
  <c r="P57" i="1" s="1"/>
  <c r="P58" i="1" a="1"/>
  <c r="P58" i="1" s="1"/>
  <c r="P59" i="1" a="1"/>
  <c r="P59" i="1" s="1"/>
  <c r="P60" i="1" a="1"/>
  <c r="P60" i="1" s="1"/>
  <c r="P61" i="1" a="1"/>
  <c r="P61" i="1" s="1"/>
  <c r="P62" i="1" a="1"/>
  <c r="P62" i="1" s="1"/>
  <c r="P63" i="1" a="1"/>
  <c r="P63" i="1" s="1"/>
  <c r="P64" i="1" a="1"/>
  <c r="P64" i="1" s="1"/>
  <c r="P65" i="1" a="1"/>
  <c r="P65" i="1" s="1"/>
  <c r="P66" i="1" a="1"/>
  <c r="P66" i="1" s="1"/>
  <c r="P67" i="1" a="1"/>
  <c r="P67" i="1" s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<sst xmlns="http://schemas.openxmlformats.org/spreadsheetml/2006/main" count="268" uniqueCount="131">
  <si>
    <t>Formula:</t>
  </si>
  <si>
    <t>EPLANT_ID</t>
  </si>
  <si>
    <t>MFGCELL</t>
  </si>
  <si>
    <t>PROD_START_TIME</t>
  </si>
  <si>
    <t>PROD_END_TIME</t>
  </si>
  <si>
    <t>MEASUREX</t>
  </si>
  <si>
    <t>PA IML</t>
  </si>
  <si>
    <t>CNTR_DESC</t>
  </si>
  <si>
    <t>ITEMNO</t>
  </si>
  <si>
    <t>Work Center - M03</t>
  </si>
  <si>
    <t>Work Center - M04</t>
  </si>
  <si>
    <t>Work Center - M02</t>
  </si>
  <si>
    <t>Work Center - MX01</t>
  </si>
  <si>
    <t>Work Center - MX02</t>
  </si>
  <si>
    <t>Work Center - MX09</t>
  </si>
  <si>
    <t>Work Center - MX08</t>
  </si>
  <si>
    <t>Work Center - MX10</t>
  </si>
  <si>
    <t>Work Center - IML02</t>
  </si>
  <si>
    <t>Work Center - IML04</t>
  </si>
  <si>
    <t>Work Center - IML05</t>
  </si>
  <si>
    <t>C034U5000-P49548A</t>
  </si>
  <si>
    <t>Work Center - M01</t>
  </si>
  <si>
    <t>CR05I501K  51782A</t>
  </si>
  <si>
    <t>Work Center - IML01</t>
  </si>
  <si>
    <t>Work Center - IML06</t>
  </si>
  <si>
    <t>CR04I501K  51804A</t>
  </si>
  <si>
    <t>Work Center - IML03</t>
  </si>
  <si>
    <t>0120.01480940</t>
  </si>
  <si>
    <t>DESCRIP</t>
  </si>
  <si>
    <t>PET-AG 14.8C3.0 DR SCOOP NAT (ENGRAVED - 1 tbsp.)</t>
  </si>
  <si>
    <t>32OZ CHICKEN TORTILLA TUB</t>
  </si>
  <si>
    <t>5.3oz IP Blueberry &amp; Bilberry Skyr Cup</t>
  </si>
  <si>
    <t>4.4oz Cold Brew Coffee Extra Creamy Skyr Cup</t>
  </si>
  <si>
    <t>WorkCenter</t>
  </si>
  <si>
    <t>PTWT_DISP</t>
  </si>
  <si>
    <t>ACT_CAV</t>
  </si>
  <si>
    <t>CYCLE_TIME</t>
  </si>
  <si>
    <t>PCS_PER_CTN</t>
  </si>
  <si>
    <t>Cartons Per Hour</t>
  </si>
  <si>
    <t>PCS_PER_HR</t>
  </si>
  <si>
    <t>0120.04309120</t>
  </si>
  <si>
    <t>ORGAIN LOGO 43.0D4.5 DR NATURAL ST</t>
  </si>
  <si>
    <t>CURR_CYCLE_TIME</t>
  </si>
  <si>
    <t>DYMATIZE LOGO 90.0D5.0 DR NAT</t>
  </si>
  <si>
    <t>L410Q555YA-P46841A</t>
  </si>
  <si>
    <t>16 OZ BROCCOLI CHEDDAR LID</t>
  </si>
  <si>
    <t>SNUFF WHITE PUCK LID</t>
  </si>
  <si>
    <t>(ACT_CAV/CYCLE_TIME)*3600</t>
  </si>
  <si>
    <t>PCS/HR</t>
  </si>
  <si>
    <t>0120.09009545</t>
  </si>
  <si>
    <t>0510.01501200</t>
  </si>
  <si>
    <t>CR04I501K  52812A</t>
  </si>
  <si>
    <t>4.4oz Peaches &amp; Cream Extra Creamy Skyr Cup</t>
  </si>
  <si>
    <t>Cavitation %</t>
  </si>
  <si>
    <t>STD_CAV</t>
  </si>
  <si>
    <t>0121.08009100</t>
  </si>
  <si>
    <t>MEASUREX 80.0D4.5 DR NATURAL</t>
  </si>
  <si>
    <t>0121.09409100</t>
  </si>
  <si>
    <t>MEASUREX 94.0D5.0 DR NATURAL</t>
  </si>
  <si>
    <t>0121.09409000</t>
  </si>
  <si>
    <t>MEASUREX 94.0D3.5 DR NATURAL</t>
  </si>
  <si>
    <t>0121.01480905</t>
  </si>
  <si>
    <t>MEASUREX 14.8C3.0 DR NATURAL</t>
  </si>
  <si>
    <t>0121.01480915</t>
  </si>
  <si>
    <t>MEASUREX 14.8C4.5 DR BLUE</t>
  </si>
  <si>
    <t>0121.01480920</t>
  </si>
  <si>
    <t>MEASUREX 14.8C4.5 DR NATURAL</t>
  </si>
  <si>
    <t>0121.00759300</t>
  </si>
  <si>
    <t>MEASUREX 7.5C5.5 DR NATURAL</t>
  </si>
  <si>
    <t>0120.09009540</t>
  </si>
  <si>
    <t>MEASUREX 90.0D5.0 DR 83494 YELLOW PMS 3955C</t>
  </si>
  <si>
    <t>0120.04809200</t>
  </si>
  <si>
    <t>ORGAIN LOGO 48.0D4.5 DR NATURAL ST</t>
  </si>
  <si>
    <t>0121.00759102</t>
  </si>
  <si>
    <t>MEASUREX 7.5C2.25 DR NATURAL</t>
  </si>
  <si>
    <t>0121.03209300</t>
  </si>
  <si>
    <t>MEASUREX 32.0D4.5 DR NATURAL REV A</t>
  </si>
  <si>
    <t>0510.01501100</t>
  </si>
  <si>
    <t>SNUFF CONTAINER WHT-BOTTOM</t>
  </si>
  <si>
    <t>0121.00909005</t>
  </si>
  <si>
    <t>MEASUREX 9.0C3.0 DR NATURAL REV A</t>
  </si>
  <si>
    <t>0121.00909015</t>
  </si>
  <si>
    <t>MEASUREX 9.0C4.5 DR NATURAL REV A</t>
  </si>
  <si>
    <t>0120.00909030</t>
  </si>
  <si>
    <t>MEASUREX 9.0C4.5 DR RED REV A</t>
  </si>
  <si>
    <t>CR05I501K  47684C</t>
  </si>
  <si>
    <t>5.0oz IP Blueberry Oatmilk Skyr Cup</t>
  </si>
  <si>
    <t>0120.00902000</t>
  </si>
  <si>
    <t>MEASUREX 9.0C4.5 DR BLUE 54747 REV A</t>
  </si>
  <si>
    <t>CR05I501K  47683C</t>
  </si>
  <si>
    <t>5.0oz IP Strawberry Oatmilk Skyr Cup</t>
  </si>
  <si>
    <t>0120.00901000</t>
  </si>
  <si>
    <t>BASIC SUPPLEMENTS LOGO 9.0C4.5 DR RED-1788C REV A</t>
  </si>
  <si>
    <t>CR05I501K  47685C</t>
  </si>
  <si>
    <t>5.0oz IP Peach Oatmilk Skyr Cup</t>
  </si>
  <si>
    <t>C017Q5000-ZP45772C</t>
  </si>
  <si>
    <t>16OZ BROCCOLI CHEDDAR CUP</t>
  </si>
  <si>
    <t>0120.09009100</t>
  </si>
  <si>
    <t>MEASUREX 90.0D5.0 DR NATURAL FIT FOODS - PLASTIC PALLETS</t>
  </si>
  <si>
    <t>0121.11849000</t>
  </si>
  <si>
    <t>MEASUREX 118.4D3.5 DR NATURAL</t>
  </si>
  <si>
    <t>0121.09009100</t>
  </si>
  <si>
    <t>MEASUREX 90.0D5.0 DR NATURAL</t>
  </si>
  <si>
    <t>0121.00759100</t>
  </si>
  <si>
    <t>MEASUREX 7.5C3.0 DR NATURAL</t>
  </si>
  <si>
    <t>0120.03209100</t>
  </si>
  <si>
    <t>ORGAIN LOGO 32.0D4.5 DR NATURAL ST</t>
  </si>
  <si>
    <t>0121.02009500</t>
  </si>
  <si>
    <t>MEASUREX 20.0D4.5DR NATURAL</t>
  </si>
  <si>
    <t>0121.03209200</t>
  </si>
  <si>
    <t>MEASUREX 32.0D3.3 DR NATURAL REV A</t>
  </si>
  <si>
    <t>0121.03209100</t>
  </si>
  <si>
    <t>MEASUREX 32.0D3.0 DR NATURAL REV A</t>
  </si>
  <si>
    <t>0121.00909020</t>
  </si>
  <si>
    <t>MEASUREX 9.0C5.5 DR NATURAL REV A</t>
  </si>
  <si>
    <t>0120.01009500</t>
  </si>
  <si>
    <t>ORGAIN LOGO 10.0R5.0 DR NATURAL ROUND BOTTOM ST</t>
  </si>
  <si>
    <t>CR05I501K  51786A</t>
  </si>
  <si>
    <t>5.3oz IP Peach &amp; Cloudberry Skyr Cup</t>
  </si>
  <si>
    <t>0120.01009300</t>
  </si>
  <si>
    <t>MEASUREX 10.0R5.0 DR RED ROUND BOTTOM REV A</t>
  </si>
  <si>
    <t>L410Q555YA-P46827C</t>
  </si>
  <si>
    <t>16 OZ CHICKEN NOODLE LID</t>
  </si>
  <si>
    <t>CR04I501K  51796A</t>
  </si>
  <si>
    <t>4.4oz Vanilla Bean Extra Creamy Skyr Cup</t>
  </si>
  <si>
    <t>L410Q555YA-P46823A</t>
  </si>
  <si>
    <t>16OZ AUTUMN SQUASH SOUP LID</t>
  </si>
  <si>
    <t>C034U5000-P49547A</t>
  </si>
  <si>
    <t>32OZ BROCCOLI CHEDDAR TUB</t>
  </si>
  <si>
    <t>C017Q5000-ZP45768C</t>
  </si>
  <si>
    <t>16OZ BAKED POTATO CUP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</si>
</sst>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49" fontId="0" fillId="0" borderId="0" xfId="0" applyNumberFormat="1"/>
    <xf numFmtId="49" fontId="0" fillId="2" borderId="1" xfId="0" applyNumberFormat="1" applyFill="1" applyBorder="1"/>
    <xf numFmtId="0" fontId="0" fillId="2" borderId="2" xfId="0" applyFill="1" applyBorder="1" applyAlignment="1">
      <alignment horizontal="centerContinuous"/>
    </xf>
    <xf numFmtId="0" fontId="0" fillId="2" borderId="3" xfId="0" applyFill="1" applyBorder="1" applyAlignment="1">
      <alignment horizontal="centerContinuous"/>
    </xf>
    <xf numFmtId="164" fontId="0" fillId="0" borderId="0" xfId="0" applyNumberFormat="1"/>
    <xf numFmtId="43" fontId="0" fillId="0" borderId="0" xfId="1" applyFont="1"/>
    <xf numFmtId="43" fontId="0" fillId="0" borderId="0" xfId="0" applyNumberFormat="1"/>
    <xf numFmtId="9" fontId="0" fillId="0" borderId="0" xfId="2" applyFont="1"/>
  </cellXfs>
  <cellStyles count="3">
    <cellStyle name="Comma" xfId="1" builtinId="3"/>
    <cellStyle name="Normal" xfId="0" builtinId="0"/>
    <cellStyle name="Percent" xfId="2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164" formatCode="[$-409]m/d/yy\ h:mm\ AM/PM;@"/>
    </dxf>
    <dxf>
      <numFmt numFmtId="164" formatCode="[$-409]m/d/yy\ h:mm\ AM/P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85E4CE-4B3E-4C3D-B366-B013643849FC}" name="Active_Sched" displayName="Active_Sched" ref="A5:Q67" totalsRowShown="0">
  <autoFilter ref="A5:Q67" xr:uid="{AC85E4CE-4B3E-4C3D-B366-B013643849FC}"/>
  <sortState xmlns:xlrd2="http://schemas.microsoft.com/office/spreadsheetml/2017/richdata2" ref="A6:Q6">
    <sortCondition ref="P5:P6"/>
  </sortState>
  <tableColumns count="17">
    <tableColumn id="11" xr3:uid="{2B3AFBC3-774E-49D2-84D2-C027154AE332}" name="EPLANT_ID"/>
    <tableColumn id="9" xr3:uid="{C0F7E81E-A8E3-485F-B3B0-8794E11EFCC8}" name="MFGCELL"/>
    <tableColumn id="17" xr3:uid="{6A3C5E69-CEE8-4382-82D4-DBE3B4AC9D91}" name="CNTR_DESC"/>
    <tableColumn id="16" xr3:uid="{2487D5C2-9919-4B06-BB6F-A2717038D83B}" name="PROD_START_TIME" dataDxfId="6"/>
    <tableColumn id="15" xr3:uid="{02B9AC01-7DA7-4854-BEB0-59C3E41043C6}" name="PROD_END_TIME" dataDxfId="5"/>
    <tableColumn id="13" xr3:uid="{E02A141B-D29A-49E2-AF6C-3ACD911C25B9}" name="ITEMNO" dataDxfId="4"/>
    <tableColumn id="7" xr3:uid="{7058ACE2-C9C3-419E-BB8C-887D0CB53544}" name="DESCRIP"/>
    <tableColumn id="6" xr3:uid="{4A0614C7-5B9F-424C-9B0B-38150DF0A05E}" name="STD_CAV"/>
    <tableColumn id="5" xr3:uid="{1A2D1F7C-263C-4E66-BF07-77D4B52E9914}" name="ACT_CAV"/>
    <tableColumn id="4" xr3:uid="{CBA4EC9B-3F9D-4E8D-84D7-21AB4ABB89FB}" name="PTWT_DISP" dataDxfId="3" dataCellStyle="Comma"/>
    <tableColumn id="3" xr3:uid="{FB52047C-47DD-4248-972D-F2432F4C00A3}" name="CYCLE_TIME"/>
    <tableColumn id="2" xr3:uid="{9F225CB0-9404-487F-809C-220FA0D0E754}" name="PCS_PER_CTN"/>
    <tableColumn id="1" xr3:uid="{40CB0071-1426-4B49-A018-89D3806EEA2E}" name="CURR_CYCLE_TIME"/>
    <tableColumn id="18" xr3:uid="{7F559888-87E9-4ACA-8619-B928E918118E}" name="PCS_PER_HR" dataDxfId="2" dataCellStyle="Comma">
      <calculatedColumnFormula>(Active_Sched[[#This Row],[ACT_CAV]]/Active_Sched[[#This Row],[CYCLE_TIME]])*3600</calculatedColumnFormula>
    </tableColumn>
    <tableColumn id="8" xr3:uid="{33591E2C-23CA-4BDB-8FA5-B2AD7CEDF17D}" name="Cartons Per Hour" dataDxfId="1" dataCellStyle="Comma">
      <calculatedColumnFormula>Active_Sched[[#This Row],[PCS_PER_HR]]/Active_Sched[[#This Row],[PCS_PER_CTN]]</calculatedColumnFormula>
    </tableColumn>
    <tableColumn id="14" xr3:uid="{2F258FD6-9519-4703-98B6-ACCFC04C7C8D}" name="WorkCenter">
      <calculatedColumnFormula array="1">_xlfn.REGEXEXTRACT(Active_Sched[[#This Row],[CNTR_DESC]],"- (.*)", 2)</calculatedColumnFormula>
    </tableColumn>
    <tableColumn id="10" xr3:uid="{9D0F4020-9ADF-4087-B601-0E436A29BFD5}" name="Cavitation %" dataDxfId="0" dataCellStyle="Percent">
      <calculatedColumnFormula>Active_Sched[[#This Row],[ACT_CAV]]/Active_Sched[[#This Row],[STD_CAV]]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824EE-42DF-45C8-A94B-7B9E8674E9FB}">
  <sheetPr codeName="Sheet1"/>
  <dimension ref="A1:S69"/>
  <sheetViews>
    <sheetView tabSelected="1" workbookViewId="0"/>
  </sheetViews>
  <sheetFormatPr defaultRowHeight="14.4" x14ac:dyDescent="0.3"/>
  <cols>
    <col min="1" max="1" width="12.6640625" bestFit="1" customWidth="1"/>
    <col min="2" max="2" width="11.5546875" bestFit="1" customWidth="1"/>
    <col min="3" max="3" width="17.88671875" bestFit="1" customWidth="1"/>
    <col min="4" max="4" width="19.88671875" style="5" bestFit="1" customWidth="1"/>
    <col min="5" max="5" width="18.21875" style="5" bestFit="1" customWidth="1"/>
    <col min="6" max="6" width="19.6640625" style="1" bestFit="1" customWidth="1"/>
    <col min="7" max="7" width="54.88671875" style="1" bestFit="1" customWidth="1"/>
    <col min="8" max="9" width="11.109375" style="6" bestFit="1" customWidth="1"/>
    <col min="10" max="10" width="14.44140625" style="6" bestFit="1" customWidth="1"/>
    <col min="11" max="11" width="14.109375" bestFit="1" customWidth="1"/>
    <col min="12" max="12" width="15.77734375" style="6" bestFit="1" customWidth="1"/>
    <col min="13" max="13" width="20.44140625" style="6" bestFit="1" customWidth="1"/>
    <col min="14" max="14" width="16.109375" bestFit="1" customWidth="1"/>
    <col min="15" max="15" width="19.88671875" bestFit="1" customWidth="1"/>
    <col min="16" max="16" width="13.88671875" bestFit="1" customWidth="1"/>
    <col min="17" max="17" width="14.109375" style="8" bestFit="1" customWidth="1"/>
  </cols>
  <sheetData>
    <row r="1" spans="1:19" ht="15" thickBot="1" x14ac:dyDescent="0.35">
      <c r="A1" s="2" t="s">
        <v>0</v>
      </c>
      <c r="B1" s="3" t="str">
        <f>_xll.GEXD("...\IQMS Production Data\Live_Schedule_JB.edq","Active_Sched","Active_Sched:1","Y","Y","Y")</f>
        <v>GenQueryDetail&lt;...\IQMS PRODUCTION DATA\LIVE_SCHEDULE_JB.EDQ,Active_Sched,Active_Sched:1,Y,Y,Y,,,,,,,,,,,,,,,,,,,,,,,,,&gt;</v>
      </c>
      <c r="C1" s="4"/>
    </row>
    <row r="3" spans="1:19" x14ac:dyDescent="0.3">
      <c r="K3" s="7"/>
    </row>
    <row r="4" spans="1:19" x14ac:dyDescent="0.3">
      <c r="S4" s="6" t="s">
        <v>48</v>
      </c>
    </row>
    <row r="5" spans="1:19" x14ac:dyDescent="0.3">
      <c r="A5" t="s">
        <v>1</v>
      </c>
      <c r="B5" t="s">
        <v>2</v>
      </c>
      <c r="C5" t="s">
        <v>7</v>
      </c>
      <c r="D5" s="5" t="s">
        <v>3</v>
      </c>
      <c r="E5" s="5" t="s">
        <v>4</v>
      </c>
      <c r="F5" s="1" t="s">
        <v>8</v>
      </c>
      <c r="G5" t="s">
        <v>28</v>
      </c>
      <c r="H5" t="s">
        <v>54</v>
      </c>
      <c r="I5" t="s">
        <v>35</v>
      </c>
      <c r="J5" s="6" t="s">
        <v>34</v>
      </c>
      <c r="K5" t="s">
        <v>36</v>
      </c>
      <c r="L5" t="s">
        <v>37</v>
      </c>
      <c r="M5" t="s">
        <v>42</v>
      </c>
      <c r="N5" s="6" t="s">
        <v>39</v>
      </c>
      <c r="O5" s="6" t="s">
        <v>38</v>
      </c>
      <c r="P5" t="s">
        <v>33</v>
      </c>
      <c r="Q5" s="8" t="s">
        <v>53</v>
      </c>
      <c r="S5" s="6" t="s">
        <v>47</v>
      </c>
    </row>
    <row r="6" spans="1:19" x14ac:dyDescent="0.3">
      <c r="A6">
        <v>3</v>
      </c>
      <c r="B6" t="s">
        <v>5</v>
      </c>
      <c r="C6" t="s">
        <v>9</v>
      </c>
      <c r="D6" s="5">
        <v>46302.376504629632</v>
      </c>
      <c r="E6" s="5">
        <v>46302.417905092596</v>
      </c>
      <c r="F6" s="1" t="s">
        <v>55</v>
      </c>
      <c r="G6" t="s">
        <v>56</v>
      </c>
      <c r="H6">
        <v>16</v>
      </c>
      <c r="I6">
        <v>16</v>
      </c>
      <c r="J6" s="6">
        <v>9.5</v>
      </c>
      <c r="K6">
        <v>6.5</v>
      </c>
      <c r="L6">
        <v>350</v>
      </c>
      <c r="M6">
        <v>6.54</v>
      </c>
      <c r="N6" s="6">
        <f>(Active_Sched[[#This Row],[ACT_CAV]]/Active_Sched[[#This Row],[CYCLE_TIME]])*3600</f>
        <v>8861.5384615384628</v>
      </c>
      <c r="O6" s="6">
        <f>Active_Sched[[#This Row],[PCS_PER_HR]]/Active_Sched[[#This Row],[PCS_PER_CTN]]</f>
        <v>25.318681318681321</v>
      </c>
      <c r="P6" t="str" cm="1">
        <f t="array" ref="P6">_xlfn.REGEXEXTRACT(Active_Sched[[#This Row],[CNTR_DESC]],"- (.*)", 2)</f>
        <v>M03</v>
      </c>
      <c r="Q6" s="8">
        <f>Active_Sched[[#This Row],[ACT_CAV]]/Active_Sched[[#This Row],[STD_CAV]]</f>
        <v>1</v>
      </c>
    </row>
    <row r="7" spans="1:19" x14ac:dyDescent="0.3">
      <c r="A7">
        <v>3</v>
      </c>
      <c r="B7" t="s">
        <v>5</v>
      </c>
      <c r="C7" t="s">
        <v>9</v>
      </c>
      <c r="D7" s="5">
        <v>46302.417905092596</v>
      </c>
      <c r="E7" s="5">
        <v>46304.717187499999</v>
      </c>
      <c r="F7" s="1" t="s">
        <v>55</v>
      </c>
      <c r="G7" t="s">
        <v>56</v>
      </c>
      <c r="H7">
        <v>16</v>
      </c>
      <c r="I7">
        <v>16</v>
      </c>
      <c r="J7" s="6">
        <v>9.5</v>
      </c>
      <c r="K7">
        <v>6.5</v>
      </c>
      <c r="L7">
        <v>350</v>
      </c>
      <c r="M7"/>
      <c r="N7" s="6">
        <f>(Active_Sched[[#This Row],[ACT_CAV]]/Active_Sched[[#This Row],[CYCLE_TIME]])*3600</f>
        <v>8861.5384615384628</v>
      </c>
      <c r="O7" s="6">
        <f>Active_Sched[[#This Row],[PCS_PER_HR]]/Active_Sched[[#This Row],[PCS_PER_CTN]]</f>
        <v>25.318681318681321</v>
      </c>
      <c r="P7" t="str" cm="1">
        <f t="array" ref="P7">_xlfn.REGEXEXTRACT(Active_Sched[[#This Row],[CNTR_DESC]],"- (.*)", 2)</f>
        <v>M03</v>
      </c>
      <c r="Q7" s="8">
        <f>Active_Sched[[#This Row],[ACT_CAV]]/Active_Sched[[#This Row],[STD_CAV]]</f>
        <v>1</v>
      </c>
    </row>
    <row r="8" spans="1:19" x14ac:dyDescent="0.3">
      <c r="A8">
        <v>3</v>
      </c>
      <c r="B8" t="s">
        <v>5</v>
      </c>
      <c r="C8" t="s">
        <v>13</v>
      </c>
      <c r="D8" s="5">
        <v>46308.402962962966</v>
      </c>
      <c r="E8" s="5">
        <v>46310.508877314816</v>
      </c>
      <c r="F8" s="1" t="s">
        <v>99</v>
      </c>
      <c r="G8" t="s">
        <v>100</v>
      </c>
      <c r="H8">
        <v>16</v>
      </c>
      <c r="I8">
        <v>13</v>
      </c>
      <c r="J8" s="6">
        <v>12</v>
      </c>
      <c r="K8">
        <v>7.75</v>
      </c>
      <c r="L8">
        <v>300</v>
      </c>
      <c r="M8"/>
      <c r="N8" s="6">
        <f>(Active_Sched[[#This Row],[ACT_CAV]]/Active_Sched[[#This Row],[CYCLE_TIME]])*3600</f>
        <v>6038.7096774193551</v>
      </c>
      <c r="O8" s="6">
        <f>Active_Sched[[#This Row],[PCS_PER_HR]]/Active_Sched[[#This Row],[PCS_PER_CTN]]</f>
        <v>20.129032258064516</v>
      </c>
      <c r="P8" t="str" cm="1">
        <f t="array" ref="P8">_xlfn.REGEXEXTRACT(Active_Sched[[#This Row],[CNTR_DESC]],"- (.*)", 2)</f>
        <v>MX02</v>
      </c>
      <c r="Q8" s="8">
        <f>Active_Sched[[#This Row],[ACT_CAV]]/Active_Sched[[#This Row],[STD_CAV]]</f>
        <v>0.8125</v>
      </c>
    </row>
    <row r="9" spans="1:19" x14ac:dyDescent="0.3">
      <c r="A9">
        <v>3</v>
      </c>
      <c r="B9" t="s">
        <v>5</v>
      </c>
      <c r="C9" t="s">
        <v>15</v>
      </c>
      <c r="D9" s="5">
        <v>46302.376504629632</v>
      </c>
      <c r="E9" s="5">
        <v>46303.408460648148</v>
      </c>
      <c r="F9" s="1" t="s">
        <v>57</v>
      </c>
      <c r="G9" t="s">
        <v>58</v>
      </c>
      <c r="H9">
        <v>8</v>
      </c>
      <c r="I9">
        <v>8</v>
      </c>
      <c r="J9" s="6">
        <v>10.3</v>
      </c>
      <c r="K9">
        <v>7.5</v>
      </c>
      <c r="L9">
        <v>325</v>
      </c>
      <c r="M9"/>
      <c r="N9" s="6">
        <f>(Active_Sched[[#This Row],[ACT_CAV]]/Active_Sched[[#This Row],[CYCLE_TIME]])*3600</f>
        <v>3840</v>
      </c>
      <c r="O9" s="6">
        <f>Active_Sched[[#This Row],[PCS_PER_HR]]/Active_Sched[[#This Row],[PCS_PER_CTN]]</f>
        <v>11.815384615384616</v>
      </c>
      <c r="P9" t="str" cm="1">
        <f t="array" ref="P9">_xlfn.REGEXEXTRACT(Active_Sched[[#This Row],[CNTR_DESC]],"- (.*)", 2)</f>
        <v>MX08</v>
      </c>
      <c r="Q9" s="8">
        <f>Active_Sched[[#This Row],[ACT_CAV]]/Active_Sched[[#This Row],[STD_CAV]]</f>
        <v>1</v>
      </c>
    </row>
    <row r="10" spans="1:19" x14ac:dyDescent="0.3">
      <c r="A10">
        <v>3</v>
      </c>
      <c r="B10" t="s">
        <v>5</v>
      </c>
      <c r="C10" t="s">
        <v>15</v>
      </c>
      <c r="D10" s="5">
        <v>46303.573865740742</v>
      </c>
      <c r="E10" s="5">
        <v>46310.177071759259</v>
      </c>
      <c r="F10" s="1" t="s">
        <v>59</v>
      </c>
      <c r="G10" t="s">
        <v>60</v>
      </c>
      <c r="H10">
        <v>8</v>
      </c>
      <c r="I10">
        <v>8</v>
      </c>
      <c r="J10" s="6">
        <v>9.3000000000000007</v>
      </c>
      <c r="K10">
        <v>7</v>
      </c>
      <c r="L10">
        <v>375</v>
      </c>
      <c r="M10"/>
      <c r="N10" s="6">
        <f>(Active_Sched[[#This Row],[ACT_CAV]]/Active_Sched[[#This Row],[CYCLE_TIME]])*3600</f>
        <v>4114.2857142857138</v>
      </c>
      <c r="O10" s="6">
        <f>Active_Sched[[#This Row],[PCS_PER_HR]]/Active_Sched[[#This Row],[PCS_PER_CTN]]</f>
        <v>10.97142857142857</v>
      </c>
      <c r="P10" t="str" cm="1">
        <f t="array" ref="P10">_xlfn.REGEXEXTRACT(Active_Sched[[#This Row],[CNTR_DESC]],"- (.*)", 2)</f>
        <v>MX08</v>
      </c>
      <c r="Q10" s="8">
        <f>Active_Sched[[#This Row],[ACT_CAV]]/Active_Sched[[#This Row],[STD_CAV]]</f>
        <v>1</v>
      </c>
    </row>
    <row r="11" spans="1:19" x14ac:dyDescent="0.3">
      <c r="A11">
        <v>3</v>
      </c>
      <c r="B11" t="s">
        <v>5</v>
      </c>
      <c r="C11" t="s">
        <v>15</v>
      </c>
      <c r="D11" s="5">
        <v>46303.408460648148</v>
      </c>
      <c r="E11" s="5">
        <v>46303.573865740742</v>
      </c>
      <c r="F11" s="1" t="s">
        <v>59</v>
      </c>
      <c r="G11" t="s">
        <v>60</v>
      </c>
      <c r="H11">
        <v>8</v>
      </c>
      <c r="I11">
        <v>8</v>
      </c>
      <c r="J11" s="6">
        <v>9.3000000000000007</v>
      </c>
      <c r="K11">
        <v>7</v>
      </c>
      <c r="L11">
        <v>375</v>
      </c>
      <c r="M11"/>
      <c r="N11" s="6">
        <f>(Active_Sched[[#This Row],[ACT_CAV]]/Active_Sched[[#This Row],[CYCLE_TIME]])*3600</f>
        <v>4114.2857142857138</v>
      </c>
      <c r="O11" s="6">
        <f>Active_Sched[[#This Row],[PCS_PER_HR]]/Active_Sched[[#This Row],[PCS_PER_CTN]]</f>
        <v>10.97142857142857</v>
      </c>
      <c r="P11" t="str" cm="1">
        <f t="array" ref="P11">_xlfn.REGEXEXTRACT(Active_Sched[[#This Row],[CNTR_DESC]],"- (.*)", 2)</f>
        <v>MX08</v>
      </c>
      <c r="Q11" s="8">
        <f>Active_Sched[[#This Row],[ACT_CAV]]/Active_Sched[[#This Row],[STD_CAV]]</f>
        <v>1</v>
      </c>
    </row>
    <row r="12" spans="1:19" x14ac:dyDescent="0.3">
      <c r="A12">
        <v>3</v>
      </c>
      <c r="B12" t="s">
        <v>5</v>
      </c>
      <c r="C12" t="s">
        <v>13</v>
      </c>
      <c r="D12" s="5">
        <v>46307.366064814814</v>
      </c>
      <c r="E12" s="5">
        <v>46308.402962962966</v>
      </c>
      <c r="F12" s="1" t="s">
        <v>61</v>
      </c>
      <c r="G12" t="s">
        <v>62</v>
      </c>
      <c r="H12">
        <v>16</v>
      </c>
      <c r="I12">
        <v>15</v>
      </c>
      <c r="J12" s="6">
        <v>3.1</v>
      </c>
      <c r="K12">
        <v>5</v>
      </c>
      <c r="L12">
        <v>1900</v>
      </c>
      <c r="M12"/>
      <c r="N12" s="6">
        <f>(Active_Sched[[#This Row],[ACT_CAV]]/Active_Sched[[#This Row],[CYCLE_TIME]])*3600</f>
        <v>10800</v>
      </c>
      <c r="O12" s="6">
        <f>Active_Sched[[#This Row],[PCS_PER_HR]]/Active_Sched[[#This Row],[PCS_PER_CTN]]</f>
        <v>5.6842105263157894</v>
      </c>
      <c r="P12" t="str" cm="1">
        <f t="array" ref="P12">_xlfn.REGEXEXTRACT(Active_Sched[[#This Row],[CNTR_DESC]],"- (.*)", 2)</f>
        <v>MX02</v>
      </c>
      <c r="Q12" s="8">
        <f>Active_Sched[[#This Row],[ACT_CAV]]/Active_Sched[[#This Row],[STD_CAV]]</f>
        <v>0.9375</v>
      </c>
    </row>
    <row r="13" spans="1:19" x14ac:dyDescent="0.3">
      <c r="A13">
        <v>3</v>
      </c>
      <c r="B13" t="s">
        <v>5</v>
      </c>
      <c r="C13" t="s">
        <v>13</v>
      </c>
      <c r="D13" s="5">
        <v>46305.042013888888</v>
      </c>
      <c r="E13" s="5">
        <v>46307.366064814814</v>
      </c>
      <c r="F13" s="1" t="s">
        <v>63</v>
      </c>
      <c r="G13" t="s">
        <v>64</v>
      </c>
      <c r="H13">
        <v>16</v>
      </c>
      <c r="I13">
        <v>16</v>
      </c>
      <c r="J13" s="6">
        <v>3.8</v>
      </c>
      <c r="K13">
        <v>5.75</v>
      </c>
      <c r="L13">
        <v>1500</v>
      </c>
      <c r="M13"/>
      <c r="N13" s="6">
        <f>(Active_Sched[[#This Row],[ACT_CAV]]/Active_Sched[[#This Row],[CYCLE_TIME]])*3600</f>
        <v>10017.391304347826</v>
      </c>
      <c r="O13" s="6">
        <f>Active_Sched[[#This Row],[PCS_PER_HR]]/Active_Sched[[#This Row],[PCS_PER_CTN]]</f>
        <v>6.678260869565217</v>
      </c>
      <c r="P13" t="str" cm="1">
        <f t="array" ref="P13">_xlfn.REGEXEXTRACT(Active_Sched[[#This Row],[CNTR_DESC]],"- (.*)", 2)</f>
        <v>MX02</v>
      </c>
      <c r="Q13" s="8">
        <f>Active_Sched[[#This Row],[ACT_CAV]]/Active_Sched[[#This Row],[STD_CAV]]</f>
        <v>1</v>
      </c>
    </row>
    <row r="14" spans="1:19" x14ac:dyDescent="0.3">
      <c r="A14">
        <v>3</v>
      </c>
      <c r="B14" t="s">
        <v>5</v>
      </c>
      <c r="C14" t="s">
        <v>13</v>
      </c>
      <c r="D14" s="5">
        <v>46304.000925925924</v>
      </c>
      <c r="E14" s="5">
        <v>46305.042013888888</v>
      </c>
      <c r="F14" s="1" t="s">
        <v>65</v>
      </c>
      <c r="G14" t="s">
        <v>66</v>
      </c>
      <c r="H14">
        <v>16</v>
      </c>
      <c r="I14">
        <v>16</v>
      </c>
      <c r="J14" s="6">
        <v>3.8</v>
      </c>
      <c r="K14">
        <v>5.25</v>
      </c>
      <c r="L14">
        <v>1500</v>
      </c>
      <c r="M14"/>
      <c r="N14" s="6">
        <f>(Active_Sched[[#This Row],[ACT_CAV]]/Active_Sched[[#This Row],[CYCLE_TIME]])*3600</f>
        <v>10971.428571428571</v>
      </c>
      <c r="O14" s="6">
        <f>Active_Sched[[#This Row],[PCS_PER_HR]]/Active_Sched[[#This Row],[PCS_PER_CTN]]</f>
        <v>7.3142857142857141</v>
      </c>
      <c r="P14" t="str" cm="1">
        <f t="array" ref="P14">_xlfn.REGEXEXTRACT(Active_Sched[[#This Row],[CNTR_DESC]],"- (.*)", 2)</f>
        <v>MX02</v>
      </c>
      <c r="Q14" s="8">
        <f>Active_Sched[[#This Row],[ACT_CAV]]/Active_Sched[[#This Row],[STD_CAV]]</f>
        <v>1</v>
      </c>
    </row>
    <row r="15" spans="1:19" x14ac:dyDescent="0.3">
      <c r="A15">
        <v>3</v>
      </c>
      <c r="B15" t="s">
        <v>5</v>
      </c>
      <c r="C15" t="s">
        <v>21</v>
      </c>
      <c r="D15" s="5">
        <v>46304.76667824074</v>
      </c>
      <c r="E15" s="5">
        <v>46307.687650462962</v>
      </c>
      <c r="F15" s="1" t="s">
        <v>101</v>
      </c>
      <c r="G15" t="s">
        <v>102</v>
      </c>
      <c r="H15">
        <v>16</v>
      </c>
      <c r="I15">
        <v>15</v>
      </c>
      <c r="J15" s="6">
        <v>10.6</v>
      </c>
      <c r="K15">
        <v>7</v>
      </c>
      <c r="L15">
        <v>350</v>
      </c>
      <c r="M15"/>
      <c r="N15" s="6">
        <f>(Active_Sched[[#This Row],[ACT_CAV]]/Active_Sched[[#This Row],[CYCLE_TIME]])*3600</f>
        <v>7714.2857142857138</v>
      </c>
      <c r="O15" s="6">
        <f>Active_Sched[[#This Row],[PCS_PER_HR]]/Active_Sched[[#This Row],[PCS_PER_CTN]]</f>
        <v>22.04081632653061</v>
      </c>
      <c r="P15" t="str" cm="1">
        <f t="array" ref="P15">_xlfn.REGEXEXTRACT(Active_Sched[[#This Row],[CNTR_DESC]],"- (.*)", 2)</f>
        <v>M01</v>
      </c>
      <c r="Q15" s="8">
        <f>Active_Sched[[#This Row],[ACT_CAV]]/Active_Sched[[#This Row],[STD_CAV]]</f>
        <v>0.9375</v>
      </c>
    </row>
    <row r="16" spans="1:19" x14ac:dyDescent="0.3">
      <c r="A16">
        <v>3</v>
      </c>
      <c r="B16" t="s">
        <v>5</v>
      </c>
      <c r="C16" t="s">
        <v>14</v>
      </c>
      <c r="D16" s="5">
        <v>46308.071805555555</v>
      </c>
      <c r="E16" s="5">
        <v>46310.384305555555</v>
      </c>
      <c r="F16" s="1" t="s">
        <v>103</v>
      </c>
      <c r="G16" t="s">
        <v>104</v>
      </c>
      <c r="H16">
        <v>8</v>
      </c>
      <c r="I16">
        <v>7</v>
      </c>
      <c r="J16" s="6">
        <v>2.2000000000000002</v>
      </c>
      <c r="K16">
        <v>5.25</v>
      </c>
      <c r="L16">
        <v>3000</v>
      </c>
      <c r="M16"/>
      <c r="N16" s="6">
        <f>(Active_Sched[[#This Row],[ACT_CAV]]/Active_Sched[[#This Row],[CYCLE_TIME]])*3600</f>
        <v>4800</v>
      </c>
      <c r="O16" s="6">
        <f>Active_Sched[[#This Row],[PCS_PER_HR]]/Active_Sched[[#This Row],[PCS_PER_CTN]]</f>
        <v>1.6</v>
      </c>
      <c r="P16" t="str" cm="1">
        <f t="array" ref="P16">_xlfn.REGEXEXTRACT(Active_Sched[[#This Row],[CNTR_DESC]],"- (.*)", 2)</f>
        <v>MX09</v>
      </c>
      <c r="Q16" s="8">
        <f>Active_Sched[[#This Row],[ACT_CAV]]/Active_Sched[[#This Row],[STD_CAV]]</f>
        <v>0.875</v>
      </c>
    </row>
    <row r="17" spans="1:17" x14ac:dyDescent="0.3">
      <c r="A17">
        <v>3</v>
      </c>
      <c r="B17" t="s">
        <v>5</v>
      </c>
      <c r="C17" t="s">
        <v>14</v>
      </c>
      <c r="D17" s="5">
        <v>46304.597222222219</v>
      </c>
      <c r="E17" s="5">
        <v>46308.071805555555</v>
      </c>
      <c r="F17" s="1" t="s">
        <v>67</v>
      </c>
      <c r="G17" t="s">
        <v>68</v>
      </c>
      <c r="H17">
        <v>8</v>
      </c>
      <c r="I17">
        <v>8</v>
      </c>
      <c r="J17" s="6">
        <v>3.4</v>
      </c>
      <c r="K17">
        <v>5.75</v>
      </c>
      <c r="L17">
        <v>1800</v>
      </c>
      <c r="M17"/>
      <c r="N17" s="6">
        <f>(Active_Sched[[#This Row],[ACT_CAV]]/Active_Sched[[#This Row],[CYCLE_TIME]])*3600</f>
        <v>5008.695652173913</v>
      </c>
      <c r="O17" s="6">
        <f>Active_Sched[[#This Row],[PCS_PER_HR]]/Active_Sched[[#This Row],[PCS_PER_CTN]]</f>
        <v>2.7826086956521738</v>
      </c>
      <c r="P17" t="str" cm="1">
        <f t="array" ref="P17">_xlfn.REGEXEXTRACT(Active_Sched[[#This Row],[CNTR_DESC]],"- (.*)", 2)</f>
        <v>MX09</v>
      </c>
      <c r="Q17" s="8">
        <f>Active_Sched[[#This Row],[ACT_CAV]]/Active_Sched[[#This Row],[STD_CAV]]</f>
        <v>1</v>
      </c>
    </row>
    <row r="18" spans="1:17" x14ac:dyDescent="0.3">
      <c r="A18">
        <v>3</v>
      </c>
      <c r="B18" t="s">
        <v>5</v>
      </c>
      <c r="C18" t="s">
        <v>13</v>
      </c>
      <c r="D18" s="5">
        <v>46302.376504629632</v>
      </c>
      <c r="E18" s="5">
        <v>46304.000925925924</v>
      </c>
      <c r="F18" s="1" t="s">
        <v>27</v>
      </c>
      <c r="G18" t="s">
        <v>29</v>
      </c>
      <c r="H18">
        <v>16</v>
      </c>
      <c r="I18">
        <v>14</v>
      </c>
      <c r="J18" s="6">
        <v>3.1</v>
      </c>
      <c r="K18">
        <v>5.25</v>
      </c>
      <c r="L18">
        <v>1900</v>
      </c>
      <c r="M18"/>
      <c r="N18" s="6">
        <f>(Active_Sched[[#This Row],[ACT_CAV]]/Active_Sched[[#This Row],[CYCLE_TIME]])*3600</f>
        <v>9600</v>
      </c>
      <c r="O18" s="6">
        <f>Active_Sched[[#This Row],[PCS_PER_HR]]/Active_Sched[[#This Row],[PCS_PER_CTN]]</f>
        <v>5.0526315789473681</v>
      </c>
      <c r="P18" t="str" cm="1">
        <f t="array" ref="P18">_xlfn.REGEXEXTRACT(Active_Sched[[#This Row],[CNTR_DESC]],"- (.*)", 2)</f>
        <v>MX02</v>
      </c>
      <c r="Q18" s="8">
        <f>Active_Sched[[#This Row],[ACT_CAV]]/Active_Sched[[#This Row],[STD_CAV]]</f>
        <v>0.875</v>
      </c>
    </row>
    <row r="19" spans="1:17" x14ac:dyDescent="0.3">
      <c r="A19">
        <v>3</v>
      </c>
      <c r="B19" t="s">
        <v>5</v>
      </c>
      <c r="C19" t="s">
        <v>12</v>
      </c>
      <c r="D19" s="5">
        <v>46303.760185185187</v>
      </c>
      <c r="E19" s="5">
        <v>46304.946608796294</v>
      </c>
      <c r="F19" s="1" t="s">
        <v>105</v>
      </c>
      <c r="G19" t="s">
        <v>106</v>
      </c>
      <c r="H19">
        <v>8</v>
      </c>
      <c r="I19">
        <v>8</v>
      </c>
      <c r="J19" s="6">
        <v>5.4</v>
      </c>
      <c r="K19">
        <v>6.25</v>
      </c>
      <c r="L19">
        <v>800</v>
      </c>
      <c r="M19"/>
      <c r="N19" s="6">
        <f>(Active_Sched[[#This Row],[ACT_CAV]]/Active_Sched[[#This Row],[CYCLE_TIME]])*3600</f>
        <v>4608</v>
      </c>
      <c r="O19" s="6">
        <f>Active_Sched[[#This Row],[PCS_PER_HR]]/Active_Sched[[#This Row],[PCS_PER_CTN]]</f>
        <v>5.76</v>
      </c>
      <c r="P19" t="str" cm="1">
        <f t="array" ref="P19">_xlfn.REGEXEXTRACT(Active_Sched[[#This Row],[CNTR_DESC]],"- (.*)", 2)</f>
        <v>MX01</v>
      </c>
      <c r="Q19" s="8">
        <f>Active_Sched[[#This Row],[ACT_CAV]]/Active_Sched[[#This Row],[STD_CAV]]</f>
        <v>1</v>
      </c>
    </row>
    <row r="20" spans="1:17" x14ac:dyDescent="0.3">
      <c r="A20">
        <v>3</v>
      </c>
      <c r="B20" t="s">
        <v>5</v>
      </c>
      <c r="C20" t="s">
        <v>11</v>
      </c>
      <c r="D20" s="5">
        <v>46302.8434375</v>
      </c>
      <c r="E20" s="5">
        <v>46303.107395833336</v>
      </c>
      <c r="F20" s="1" t="s">
        <v>40</v>
      </c>
      <c r="G20" t="s">
        <v>41</v>
      </c>
      <c r="H20">
        <v>16</v>
      </c>
      <c r="I20">
        <v>16</v>
      </c>
      <c r="J20" s="6">
        <v>6.3</v>
      </c>
      <c r="K20">
        <v>6</v>
      </c>
      <c r="L20">
        <v>700</v>
      </c>
      <c r="M20"/>
      <c r="N20" s="6">
        <f>(Active_Sched[[#This Row],[ACT_CAV]]/Active_Sched[[#This Row],[CYCLE_TIME]])*3600</f>
        <v>9600</v>
      </c>
      <c r="O20" s="6">
        <f>Active_Sched[[#This Row],[PCS_PER_HR]]/Active_Sched[[#This Row],[PCS_PER_CTN]]</f>
        <v>13.714285714285714</v>
      </c>
      <c r="P20" t="str" cm="1">
        <f t="array" ref="P20">_xlfn.REGEXEXTRACT(Active_Sched[[#This Row],[CNTR_DESC]],"- (.*)", 2)</f>
        <v>M02</v>
      </c>
      <c r="Q20" s="8">
        <f>Active_Sched[[#This Row],[ACT_CAV]]/Active_Sched[[#This Row],[STD_CAV]]</f>
        <v>1</v>
      </c>
    </row>
    <row r="21" spans="1:17" x14ac:dyDescent="0.3">
      <c r="A21">
        <v>3</v>
      </c>
      <c r="B21" t="s">
        <v>5</v>
      </c>
      <c r="C21" t="s">
        <v>11</v>
      </c>
      <c r="D21" s="5">
        <v>46302.376516203702</v>
      </c>
      <c r="E21" s="5">
        <v>46302.8434375</v>
      </c>
      <c r="F21" s="1" t="s">
        <v>40</v>
      </c>
      <c r="G21" t="s">
        <v>41</v>
      </c>
      <c r="H21">
        <v>16</v>
      </c>
      <c r="I21">
        <v>16</v>
      </c>
      <c r="J21" s="6">
        <v>6.3</v>
      </c>
      <c r="K21">
        <v>6</v>
      </c>
      <c r="L21">
        <v>700</v>
      </c>
      <c r="M21"/>
      <c r="N21" s="6">
        <f>(Active_Sched[[#This Row],[ACT_CAV]]/Active_Sched[[#This Row],[CYCLE_TIME]])*3600</f>
        <v>9600</v>
      </c>
      <c r="O21" s="6">
        <f>Active_Sched[[#This Row],[PCS_PER_HR]]/Active_Sched[[#This Row],[PCS_PER_CTN]]</f>
        <v>13.714285714285714</v>
      </c>
      <c r="P21" t="str" cm="1">
        <f t="array" ref="P21">_xlfn.REGEXEXTRACT(Active_Sched[[#This Row],[CNTR_DESC]],"- (.*)", 2)</f>
        <v>M02</v>
      </c>
      <c r="Q21" s="8">
        <f>Active_Sched[[#This Row],[ACT_CAV]]/Active_Sched[[#This Row],[STD_CAV]]</f>
        <v>1</v>
      </c>
    </row>
    <row r="22" spans="1:17" x14ac:dyDescent="0.3">
      <c r="A22">
        <v>3</v>
      </c>
      <c r="B22" t="s">
        <v>5</v>
      </c>
      <c r="C22" t="s">
        <v>21</v>
      </c>
      <c r="D22" s="5">
        <v>46304.410462962966</v>
      </c>
      <c r="E22" s="5">
        <v>46304.76667824074</v>
      </c>
      <c r="F22" s="1" t="s">
        <v>69</v>
      </c>
      <c r="G22" t="s">
        <v>70</v>
      </c>
      <c r="H22">
        <v>16</v>
      </c>
      <c r="I22">
        <v>15</v>
      </c>
      <c r="J22" s="6">
        <v>10.6</v>
      </c>
      <c r="K22">
        <v>7</v>
      </c>
      <c r="L22">
        <v>350</v>
      </c>
      <c r="M22"/>
      <c r="N22" s="6">
        <f>(Active_Sched[[#This Row],[ACT_CAV]]/Active_Sched[[#This Row],[CYCLE_TIME]])*3600</f>
        <v>7714.2857142857138</v>
      </c>
      <c r="O22" s="6">
        <f>Active_Sched[[#This Row],[PCS_PER_HR]]/Active_Sched[[#This Row],[PCS_PER_CTN]]</f>
        <v>22.04081632653061</v>
      </c>
      <c r="P22" t="str" cm="1">
        <f t="array" ref="P22">_xlfn.REGEXEXTRACT(Active_Sched[[#This Row],[CNTR_DESC]],"- (.*)", 2)</f>
        <v>M01</v>
      </c>
      <c r="Q22" s="8">
        <f>Active_Sched[[#This Row],[ACT_CAV]]/Active_Sched[[#This Row],[STD_CAV]]</f>
        <v>0.9375</v>
      </c>
    </row>
    <row r="23" spans="1:17" x14ac:dyDescent="0.3">
      <c r="A23">
        <v>3</v>
      </c>
      <c r="B23" t="s">
        <v>5</v>
      </c>
      <c r="C23" t="s">
        <v>9</v>
      </c>
      <c r="D23" s="5">
        <v>46304.721354166664</v>
      </c>
      <c r="E23" s="5">
        <v>46307.731793981482</v>
      </c>
      <c r="F23" s="1" t="s">
        <v>107</v>
      </c>
      <c r="G23" t="s">
        <v>108</v>
      </c>
      <c r="H23">
        <v>8</v>
      </c>
      <c r="I23">
        <v>8</v>
      </c>
      <c r="J23" s="6">
        <v>4.12</v>
      </c>
      <c r="K23">
        <v>5.75</v>
      </c>
      <c r="L23">
        <v>1100</v>
      </c>
      <c r="M23"/>
      <c r="N23" s="6">
        <f>(Active_Sched[[#This Row],[ACT_CAV]]/Active_Sched[[#This Row],[CYCLE_TIME]])*3600</f>
        <v>5008.695652173913</v>
      </c>
      <c r="O23" s="6">
        <f>Active_Sched[[#This Row],[PCS_PER_HR]]/Active_Sched[[#This Row],[PCS_PER_CTN]]</f>
        <v>4.5533596837944668</v>
      </c>
      <c r="P23" t="str" cm="1">
        <f t="array" ref="P23">_xlfn.REGEXEXTRACT(Active_Sched[[#This Row],[CNTR_DESC]],"- (.*)", 2)</f>
        <v>M03</v>
      </c>
      <c r="Q23" s="8">
        <f>Active_Sched[[#This Row],[ACT_CAV]]/Active_Sched[[#This Row],[STD_CAV]]</f>
        <v>1</v>
      </c>
    </row>
    <row r="24" spans="1:17" x14ac:dyDescent="0.3">
      <c r="A24">
        <v>3</v>
      </c>
      <c r="B24" t="s">
        <v>5</v>
      </c>
      <c r="C24" t="s">
        <v>9</v>
      </c>
      <c r="D24" s="5">
        <v>46307.731793981482</v>
      </c>
      <c r="E24" s="5">
        <v>46309.958402777775</v>
      </c>
      <c r="F24" s="1" t="s">
        <v>107</v>
      </c>
      <c r="G24" t="s">
        <v>108</v>
      </c>
      <c r="H24">
        <v>16</v>
      </c>
      <c r="I24">
        <v>15</v>
      </c>
      <c r="J24" s="6">
        <v>4.12</v>
      </c>
      <c r="K24">
        <v>5.75</v>
      </c>
      <c r="L24">
        <v>1100</v>
      </c>
      <c r="M24"/>
      <c r="N24" s="6">
        <f>(Active_Sched[[#This Row],[ACT_CAV]]/Active_Sched[[#This Row],[CYCLE_TIME]])*3600</f>
        <v>9391.3043478260879</v>
      </c>
      <c r="O24" s="6">
        <f>Active_Sched[[#This Row],[PCS_PER_HR]]/Active_Sched[[#This Row],[PCS_PER_CTN]]</f>
        <v>8.537549407114625</v>
      </c>
      <c r="P24" t="str" cm="1">
        <f t="array" ref="P24">_xlfn.REGEXEXTRACT(Active_Sched[[#This Row],[CNTR_DESC]],"- (.*)", 2)</f>
        <v>M03</v>
      </c>
      <c r="Q24" s="8">
        <f>Active_Sched[[#This Row],[ACT_CAV]]/Active_Sched[[#This Row],[STD_CAV]]</f>
        <v>0.9375</v>
      </c>
    </row>
    <row r="25" spans="1:17" x14ac:dyDescent="0.3">
      <c r="A25">
        <v>3</v>
      </c>
      <c r="B25" t="s">
        <v>5</v>
      </c>
      <c r="C25" t="s">
        <v>21</v>
      </c>
      <c r="D25" s="5">
        <v>46302.376504629632</v>
      </c>
      <c r="E25" s="5">
        <v>46303.577303240738</v>
      </c>
      <c r="F25" s="1" t="s">
        <v>49</v>
      </c>
      <c r="G25" t="s">
        <v>43</v>
      </c>
      <c r="H25">
        <v>16</v>
      </c>
      <c r="I25">
        <v>16</v>
      </c>
      <c r="J25" s="6">
        <v>10.6</v>
      </c>
      <c r="K25">
        <v>7</v>
      </c>
      <c r="L25">
        <v>350</v>
      </c>
      <c r="M25">
        <v>7.1</v>
      </c>
      <c r="N25" s="6">
        <f>(Active_Sched[[#This Row],[ACT_CAV]]/Active_Sched[[#This Row],[CYCLE_TIME]])*3600</f>
        <v>8228.5714285714275</v>
      </c>
      <c r="O25" s="6">
        <f>Active_Sched[[#This Row],[PCS_PER_HR]]/Active_Sched[[#This Row],[PCS_PER_CTN]]</f>
        <v>23.510204081632651</v>
      </c>
      <c r="P25" t="str" cm="1">
        <f t="array" ref="P25">_xlfn.REGEXEXTRACT(Active_Sched[[#This Row],[CNTR_DESC]],"- (.*)", 2)</f>
        <v>M01</v>
      </c>
      <c r="Q25" s="8">
        <f>Active_Sched[[#This Row],[ACT_CAV]]/Active_Sched[[#This Row],[STD_CAV]]</f>
        <v>1</v>
      </c>
    </row>
    <row r="26" spans="1:17" x14ac:dyDescent="0.3">
      <c r="A26">
        <v>3</v>
      </c>
      <c r="B26" t="s">
        <v>5</v>
      </c>
      <c r="C26" t="s">
        <v>21</v>
      </c>
      <c r="D26" s="5">
        <v>46307.687650462962</v>
      </c>
      <c r="E26" s="5">
        <v>46309.034837962965</v>
      </c>
      <c r="F26" s="1" t="s">
        <v>71</v>
      </c>
      <c r="G26" t="s">
        <v>72</v>
      </c>
      <c r="H26">
        <v>16</v>
      </c>
      <c r="I26">
        <v>14</v>
      </c>
      <c r="J26" s="6">
        <v>7.1</v>
      </c>
      <c r="K26">
        <v>5.75</v>
      </c>
      <c r="L26">
        <v>600</v>
      </c>
      <c r="M26"/>
      <c r="N26" s="6">
        <f>(Active_Sched[[#This Row],[ACT_CAV]]/Active_Sched[[#This Row],[CYCLE_TIME]])*3600</f>
        <v>8765.217391304348</v>
      </c>
      <c r="O26" s="6">
        <f>Active_Sched[[#This Row],[PCS_PER_HR]]/Active_Sched[[#This Row],[PCS_PER_CTN]]</f>
        <v>14.608695652173914</v>
      </c>
      <c r="P26" t="str" cm="1">
        <f t="array" ref="P26">_xlfn.REGEXEXTRACT(Active_Sched[[#This Row],[CNTR_DESC]],"- (.*)", 2)</f>
        <v>M01</v>
      </c>
      <c r="Q26" s="8">
        <f>Active_Sched[[#This Row],[ACT_CAV]]/Active_Sched[[#This Row],[STD_CAV]]</f>
        <v>0.875</v>
      </c>
    </row>
    <row r="27" spans="1:17" x14ac:dyDescent="0.3">
      <c r="A27">
        <v>3</v>
      </c>
      <c r="B27" t="s">
        <v>5</v>
      </c>
      <c r="C27" t="s">
        <v>14</v>
      </c>
      <c r="D27" s="5">
        <v>46303.575787037036</v>
      </c>
      <c r="E27" s="5">
        <v>46304.597222222219</v>
      </c>
      <c r="F27" s="1" t="s">
        <v>73</v>
      </c>
      <c r="G27" t="s">
        <v>74</v>
      </c>
      <c r="H27">
        <v>8</v>
      </c>
      <c r="I27">
        <v>8</v>
      </c>
      <c r="J27" s="6">
        <v>2.2000000000000002</v>
      </c>
      <c r="K27">
        <v>5.25</v>
      </c>
      <c r="L27">
        <v>3000</v>
      </c>
      <c r="M27"/>
      <c r="N27" s="6">
        <f>(Active_Sched[[#This Row],[ACT_CAV]]/Active_Sched[[#This Row],[CYCLE_TIME]])*3600</f>
        <v>5485.7142857142853</v>
      </c>
      <c r="O27" s="6">
        <f>Active_Sched[[#This Row],[PCS_PER_HR]]/Active_Sched[[#This Row],[PCS_PER_CTN]]</f>
        <v>1.8285714285714285</v>
      </c>
      <c r="P27" t="str" cm="1">
        <f t="array" ref="P27">_xlfn.REGEXEXTRACT(Active_Sched[[#This Row],[CNTR_DESC]],"- (.*)", 2)</f>
        <v>MX09</v>
      </c>
      <c r="Q27" s="8">
        <f>Active_Sched[[#This Row],[ACT_CAV]]/Active_Sched[[#This Row],[STD_CAV]]</f>
        <v>1</v>
      </c>
    </row>
    <row r="28" spans="1:17" x14ac:dyDescent="0.3">
      <c r="A28">
        <v>3</v>
      </c>
      <c r="B28" t="s">
        <v>5</v>
      </c>
      <c r="C28" t="s">
        <v>14</v>
      </c>
      <c r="D28" s="5">
        <v>46302.376504629632</v>
      </c>
      <c r="E28" s="5">
        <v>46303.575787037036</v>
      </c>
      <c r="F28" s="1" t="s">
        <v>73</v>
      </c>
      <c r="G28" t="s">
        <v>74</v>
      </c>
      <c r="H28">
        <v>8</v>
      </c>
      <c r="I28">
        <v>8</v>
      </c>
      <c r="J28" s="6">
        <v>2.2000000000000002</v>
      </c>
      <c r="K28">
        <v>5.25</v>
      </c>
      <c r="L28">
        <v>3000</v>
      </c>
      <c r="M28"/>
      <c r="N28" s="6">
        <f>(Active_Sched[[#This Row],[ACT_CAV]]/Active_Sched[[#This Row],[CYCLE_TIME]])*3600</f>
        <v>5485.7142857142853</v>
      </c>
      <c r="O28" s="6">
        <f>Active_Sched[[#This Row],[PCS_PER_HR]]/Active_Sched[[#This Row],[PCS_PER_CTN]]</f>
        <v>1.8285714285714285</v>
      </c>
      <c r="P28" t="str" cm="1">
        <f t="array" ref="P28">_xlfn.REGEXEXTRACT(Active_Sched[[#This Row],[CNTR_DESC]],"- (.*)", 2)</f>
        <v>MX09</v>
      </c>
      <c r="Q28" s="8">
        <f>Active_Sched[[#This Row],[ACT_CAV]]/Active_Sched[[#This Row],[STD_CAV]]</f>
        <v>1</v>
      </c>
    </row>
    <row r="29" spans="1:17" x14ac:dyDescent="0.3">
      <c r="A29">
        <v>3</v>
      </c>
      <c r="B29" t="s">
        <v>6</v>
      </c>
      <c r="C29" t="s">
        <v>23</v>
      </c>
      <c r="D29" s="5">
        <v>46302.376516203702</v>
      </c>
      <c r="E29" s="5">
        <v>46303.710312499999</v>
      </c>
      <c r="F29" s="1" t="s">
        <v>44</v>
      </c>
      <c r="G29" t="s">
        <v>45</v>
      </c>
      <c r="H29">
        <v>16</v>
      </c>
      <c r="I29">
        <v>16</v>
      </c>
      <c r="J29" s="6">
        <v>6.4</v>
      </c>
      <c r="K29">
        <v>5.7</v>
      </c>
      <c r="L29">
        <v>1500</v>
      </c>
      <c r="M29">
        <v>10.72</v>
      </c>
      <c r="N29" s="6">
        <f>(Active_Sched[[#This Row],[ACT_CAV]]/Active_Sched[[#This Row],[CYCLE_TIME]])*3600</f>
        <v>10105.263157894737</v>
      </c>
      <c r="O29" s="6">
        <f>Active_Sched[[#This Row],[PCS_PER_HR]]/Active_Sched[[#This Row],[PCS_PER_CTN]]</f>
        <v>6.7368421052631575</v>
      </c>
      <c r="P29" t="str" cm="1">
        <f t="array" ref="P29">_xlfn.REGEXEXTRACT(Active_Sched[[#This Row],[CNTR_DESC]],"- (.*)", 2)</f>
        <v>IML01</v>
      </c>
      <c r="Q29" s="8">
        <f>Active_Sched[[#This Row],[ACT_CAV]]/Active_Sched[[#This Row],[STD_CAV]]</f>
        <v>1</v>
      </c>
    </row>
    <row r="30" spans="1:17" x14ac:dyDescent="0.3">
      <c r="A30">
        <v>3</v>
      </c>
      <c r="B30" t="s">
        <v>5</v>
      </c>
      <c r="C30" t="s">
        <v>12</v>
      </c>
      <c r="D30" s="5">
        <v>46305.137118055558</v>
      </c>
      <c r="E30" s="5">
        <v>46307.692858796298</v>
      </c>
      <c r="F30" s="1" t="s">
        <v>75</v>
      </c>
      <c r="G30" t="s">
        <v>76</v>
      </c>
      <c r="H30">
        <v>16</v>
      </c>
      <c r="I30">
        <v>15</v>
      </c>
      <c r="J30" s="6">
        <v>5.19</v>
      </c>
      <c r="K30">
        <v>5.25</v>
      </c>
      <c r="L30">
        <v>800</v>
      </c>
      <c r="M30"/>
      <c r="N30" s="6">
        <f>(Active_Sched[[#This Row],[ACT_CAV]]/Active_Sched[[#This Row],[CYCLE_TIME]])*3600</f>
        <v>10285.714285714286</v>
      </c>
      <c r="O30" s="6">
        <f>Active_Sched[[#This Row],[PCS_PER_HR]]/Active_Sched[[#This Row],[PCS_PER_CTN]]</f>
        <v>12.857142857142858</v>
      </c>
      <c r="P30" t="str" cm="1">
        <f t="array" ref="P30">_xlfn.REGEXEXTRACT(Active_Sched[[#This Row],[CNTR_DESC]],"- (.*)", 2)</f>
        <v>MX01</v>
      </c>
      <c r="Q30" s="8">
        <f>Active_Sched[[#This Row],[ACT_CAV]]/Active_Sched[[#This Row],[STD_CAV]]</f>
        <v>0.9375</v>
      </c>
    </row>
    <row r="31" spans="1:17" x14ac:dyDescent="0.3">
      <c r="A31">
        <v>3</v>
      </c>
      <c r="B31" t="s">
        <v>5</v>
      </c>
      <c r="C31" t="s">
        <v>12</v>
      </c>
      <c r="D31" s="5">
        <v>46304.946608796294</v>
      </c>
      <c r="E31" s="5">
        <v>46305.137118055558</v>
      </c>
      <c r="F31" s="1" t="s">
        <v>75</v>
      </c>
      <c r="G31" t="s">
        <v>76</v>
      </c>
      <c r="H31">
        <v>16</v>
      </c>
      <c r="I31">
        <v>15</v>
      </c>
      <c r="J31" s="6">
        <v>5.19</v>
      </c>
      <c r="K31">
        <v>5.25</v>
      </c>
      <c r="L31">
        <v>800</v>
      </c>
      <c r="M31"/>
      <c r="N31" s="6">
        <f>(Active_Sched[[#This Row],[ACT_CAV]]/Active_Sched[[#This Row],[CYCLE_TIME]])*3600</f>
        <v>10285.714285714286</v>
      </c>
      <c r="O31" s="6">
        <f>Active_Sched[[#This Row],[PCS_PER_HR]]/Active_Sched[[#This Row],[PCS_PER_CTN]]</f>
        <v>12.857142857142858</v>
      </c>
      <c r="P31" t="str" cm="1">
        <f t="array" ref="P31">_xlfn.REGEXEXTRACT(Active_Sched[[#This Row],[CNTR_DESC]],"- (.*)", 2)</f>
        <v>MX01</v>
      </c>
      <c r="Q31" s="8">
        <f>Active_Sched[[#This Row],[ACT_CAV]]/Active_Sched[[#This Row],[STD_CAV]]</f>
        <v>0.9375</v>
      </c>
    </row>
    <row r="32" spans="1:17" x14ac:dyDescent="0.3">
      <c r="A32">
        <v>3</v>
      </c>
      <c r="B32" t="s">
        <v>5</v>
      </c>
      <c r="C32" t="s">
        <v>12</v>
      </c>
      <c r="D32" s="5">
        <v>46302.932245370372</v>
      </c>
      <c r="E32" s="5">
        <v>46303.760185185187</v>
      </c>
      <c r="F32" s="1" t="s">
        <v>75</v>
      </c>
      <c r="G32" t="s">
        <v>76</v>
      </c>
      <c r="H32">
        <v>16</v>
      </c>
      <c r="I32">
        <v>15</v>
      </c>
      <c r="J32" s="6">
        <v>5.19</v>
      </c>
      <c r="K32">
        <v>5.25</v>
      </c>
      <c r="L32">
        <v>800</v>
      </c>
      <c r="M32"/>
      <c r="N32" s="6">
        <f>(Active_Sched[[#This Row],[ACT_CAV]]/Active_Sched[[#This Row],[CYCLE_TIME]])*3600</f>
        <v>10285.714285714286</v>
      </c>
      <c r="O32" s="6">
        <f>Active_Sched[[#This Row],[PCS_PER_HR]]/Active_Sched[[#This Row],[PCS_PER_CTN]]</f>
        <v>12.857142857142858</v>
      </c>
      <c r="P32" t="str" cm="1">
        <f t="array" ref="P32">_xlfn.REGEXEXTRACT(Active_Sched[[#This Row],[CNTR_DESC]],"- (.*)", 2)</f>
        <v>MX01</v>
      </c>
      <c r="Q32" s="8">
        <f>Active_Sched[[#This Row],[ACT_CAV]]/Active_Sched[[#This Row],[STD_CAV]]</f>
        <v>0.9375</v>
      </c>
    </row>
    <row r="33" spans="1:17" x14ac:dyDescent="0.3">
      <c r="A33">
        <v>3</v>
      </c>
      <c r="B33" t="s">
        <v>5</v>
      </c>
      <c r="C33" t="s">
        <v>12</v>
      </c>
      <c r="D33" s="5">
        <v>46302.376504629632</v>
      </c>
      <c r="E33" s="5">
        <v>46302.932245370372</v>
      </c>
      <c r="F33" s="1" t="s">
        <v>75</v>
      </c>
      <c r="G33" t="s">
        <v>76</v>
      </c>
      <c r="H33">
        <v>16</v>
      </c>
      <c r="I33">
        <v>15</v>
      </c>
      <c r="J33" s="6">
        <v>5.19</v>
      </c>
      <c r="K33">
        <v>5.25</v>
      </c>
      <c r="L33">
        <v>800</v>
      </c>
      <c r="M33"/>
      <c r="N33" s="6">
        <f>(Active_Sched[[#This Row],[ACT_CAV]]/Active_Sched[[#This Row],[CYCLE_TIME]])*3600</f>
        <v>10285.714285714286</v>
      </c>
      <c r="O33" s="6">
        <f>Active_Sched[[#This Row],[PCS_PER_HR]]/Active_Sched[[#This Row],[PCS_PER_CTN]]</f>
        <v>12.857142857142858</v>
      </c>
      <c r="P33" t="str" cm="1">
        <f t="array" ref="P33">_xlfn.REGEXEXTRACT(Active_Sched[[#This Row],[CNTR_DESC]],"- (.*)", 2)</f>
        <v>MX01</v>
      </c>
      <c r="Q33" s="8">
        <f>Active_Sched[[#This Row],[ACT_CAV]]/Active_Sched[[#This Row],[STD_CAV]]</f>
        <v>0.9375</v>
      </c>
    </row>
    <row r="34" spans="1:17" x14ac:dyDescent="0.3">
      <c r="A34">
        <v>3</v>
      </c>
      <c r="B34" t="s">
        <v>5</v>
      </c>
      <c r="C34" t="s">
        <v>12</v>
      </c>
      <c r="D34" s="5">
        <v>46307.692858796298</v>
      </c>
      <c r="E34" s="5">
        <v>46308.411458333336</v>
      </c>
      <c r="F34" s="1" t="s">
        <v>109</v>
      </c>
      <c r="G34" t="s">
        <v>110</v>
      </c>
      <c r="H34">
        <v>16</v>
      </c>
      <c r="I34">
        <v>13</v>
      </c>
      <c r="J34" s="6">
        <v>4.63</v>
      </c>
      <c r="K34">
        <v>5.5</v>
      </c>
      <c r="L34">
        <v>950</v>
      </c>
      <c r="M34"/>
      <c r="N34" s="6">
        <f>(Active_Sched[[#This Row],[ACT_CAV]]/Active_Sched[[#This Row],[CYCLE_TIME]])*3600</f>
        <v>8509.0909090909099</v>
      </c>
      <c r="O34" s="6">
        <f>Active_Sched[[#This Row],[PCS_PER_HR]]/Active_Sched[[#This Row],[PCS_PER_CTN]]</f>
        <v>8.9569377990430628</v>
      </c>
      <c r="P34" t="str" cm="1">
        <f t="array" ref="P34">_xlfn.REGEXEXTRACT(Active_Sched[[#This Row],[CNTR_DESC]],"- (.*)", 2)</f>
        <v>MX01</v>
      </c>
      <c r="Q34" s="8">
        <f>Active_Sched[[#This Row],[ACT_CAV]]/Active_Sched[[#This Row],[STD_CAV]]</f>
        <v>0.8125</v>
      </c>
    </row>
    <row r="35" spans="1:17" x14ac:dyDescent="0.3">
      <c r="A35">
        <v>3</v>
      </c>
      <c r="B35" t="s">
        <v>5</v>
      </c>
      <c r="C35" t="s">
        <v>12</v>
      </c>
      <c r="D35" s="5">
        <v>46308.411458333336</v>
      </c>
      <c r="E35" s="5">
        <v>46308.684895833336</v>
      </c>
      <c r="F35" s="1" t="s">
        <v>109</v>
      </c>
      <c r="G35" t="s">
        <v>110</v>
      </c>
      <c r="H35">
        <v>16</v>
      </c>
      <c r="I35">
        <v>13</v>
      </c>
      <c r="J35" s="6">
        <v>4.63</v>
      </c>
      <c r="K35">
        <v>5.5</v>
      </c>
      <c r="L35">
        <v>950</v>
      </c>
      <c r="M35"/>
      <c r="N35" s="6">
        <f>(Active_Sched[[#This Row],[ACT_CAV]]/Active_Sched[[#This Row],[CYCLE_TIME]])*3600</f>
        <v>8509.0909090909099</v>
      </c>
      <c r="O35" s="6">
        <f>Active_Sched[[#This Row],[PCS_PER_HR]]/Active_Sched[[#This Row],[PCS_PER_CTN]]</f>
        <v>8.9569377990430628</v>
      </c>
      <c r="P35" t="str" cm="1">
        <f t="array" ref="P35">_xlfn.REGEXEXTRACT(Active_Sched[[#This Row],[CNTR_DESC]],"- (.*)", 2)</f>
        <v>MX01</v>
      </c>
      <c r="Q35" s="8">
        <f>Active_Sched[[#This Row],[ACT_CAV]]/Active_Sched[[#This Row],[STD_CAV]]</f>
        <v>0.8125</v>
      </c>
    </row>
    <row r="36" spans="1:17" x14ac:dyDescent="0.3">
      <c r="A36">
        <v>3</v>
      </c>
      <c r="B36" t="s">
        <v>5</v>
      </c>
      <c r="C36" t="s">
        <v>12</v>
      </c>
      <c r="D36" s="5">
        <v>46308.684895833336</v>
      </c>
      <c r="E36" s="5">
        <v>46309.173321759263</v>
      </c>
      <c r="F36" s="1" t="s">
        <v>111</v>
      </c>
      <c r="G36" t="s">
        <v>112</v>
      </c>
      <c r="H36">
        <v>16</v>
      </c>
      <c r="I36">
        <v>16</v>
      </c>
      <c r="J36" s="6">
        <v>4.68</v>
      </c>
      <c r="K36">
        <v>5.25</v>
      </c>
      <c r="L36">
        <v>1000</v>
      </c>
      <c r="M36"/>
      <c r="N36" s="6">
        <f>(Active_Sched[[#This Row],[ACT_CAV]]/Active_Sched[[#This Row],[CYCLE_TIME]])*3600</f>
        <v>10971.428571428571</v>
      </c>
      <c r="O36" s="6">
        <f>Active_Sched[[#This Row],[PCS_PER_HR]]/Active_Sched[[#This Row],[PCS_PER_CTN]]</f>
        <v>10.971428571428572</v>
      </c>
      <c r="P36" t="str" cm="1">
        <f t="array" ref="P36">_xlfn.REGEXEXTRACT(Active_Sched[[#This Row],[CNTR_DESC]],"- (.*)", 2)</f>
        <v>MX01</v>
      </c>
      <c r="Q36" s="8">
        <f>Active_Sched[[#This Row],[ACT_CAV]]/Active_Sched[[#This Row],[STD_CAV]]</f>
        <v>1</v>
      </c>
    </row>
    <row r="37" spans="1:17" x14ac:dyDescent="0.3">
      <c r="A37">
        <v>3</v>
      </c>
      <c r="B37" t="s">
        <v>5</v>
      </c>
      <c r="C37" t="s">
        <v>16</v>
      </c>
      <c r="D37" s="5">
        <v>46302.376516203702</v>
      </c>
      <c r="E37" s="5">
        <v>46304.821284722224</v>
      </c>
      <c r="F37" s="1" t="s">
        <v>77</v>
      </c>
      <c r="G37" t="s">
        <v>78</v>
      </c>
      <c r="H37">
        <v>16</v>
      </c>
      <c r="I37">
        <v>15</v>
      </c>
      <c r="J37" s="6">
        <v>7.47</v>
      </c>
      <c r="K37">
        <v>8</v>
      </c>
      <c r="L37">
        <v>528</v>
      </c>
      <c r="M37">
        <v>11.54</v>
      </c>
      <c r="N37" s="6">
        <f>(Active_Sched[[#This Row],[ACT_CAV]]/Active_Sched[[#This Row],[CYCLE_TIME]])*3600</f>
        <v>6750</v>
      </c>
      <c r="O37" s="6">
        <f>Active_Sched[[#This Row],[PCS_PER_HR]]/Active_Sched[[#This Row],[PCS_PER_CTN]]</f>
        <v>12.784090909090908</v>
      </c>
      <c r="P37" t="str" cm="1">
        <f t="array" ref="P37">_xlfn.REGEXEXTRACT(Active_Sched[[#This Row],[CNTR_DESC]],"- (.*)", 2)</f>
        <v>MX10</v>
      </c>
      <c r="Q37" s="8">
        <f>Active_Sched[[#This Row],[ACT_CAV]]/Active_Sched[[#This Row],[STD_CAV]]</f>
        <v>0.9375</v>
      </c>
    </row>
    <row r="38" spans="1:17" x14ac:dyDescent="0.3">
      <c r="A38">
        <v>3</v>
      </c>
      <c r="B38" t="s">
        <v>5</v>
      </c>
      <c r="C38" t="s">
        <v>16</v>
      </c>
      <c r="D38" s="5">
        <v>46304.821284722224</v>
      </c>
      <c r="E38" s="5">
        <v>46309.645266203705</v>
      </c>
      <c r="F38" s="1" t="s">
        <v>50</v>
      </c>
      <c r="G38" t="s">
        <v>46</v>
      </c>
      <c r="H38">
        <v>16</v>
      </c>
      <c r="I38">
        <v>14</v>
      </c>
      <c r="J38" s="6">
        <v>3.13</v>
      </c>
      <c r="K38">
        <v>7.5</v>
      </c>
      <c r="L38">
        <v>1900</v>
      </c>
      <c r="M38"/>
      <c r="N38" s="6">
        <f>(Active_Sched[[#This Row],[ACT_CAV]]/Active_Sched[[#This Row],[CYCLE_TIME]])*3600</f>
        <v>6720</v>
      </c>
      <c r="O38" s="6">
        <f>Active_Sched[[#This Row],[PCS_PER_HR]]/Active_Sched[[#This Row],[PCS_PER_CTN]]</f>
        <v>3.5368421052631578</v>
      </c>
      <c r="P38" t="str" cm="1">
        <f t="array" ref="P38">_xlfn.REGEXEXTRACT(Active_Sched[[#This Row],[CNTR_DESC]],"- (.*)", 2)</f>
        <v>MX10</v>
      </c>
      <c r="Q38" s="8">
        <f>Active_Sched[[#This Row],[ACT_CAV]]/Active_Sched[[#This Row],[STD_CAV]]</f>
        <v>0.875</v>
      </c>
    </row>
    <row r="39" spans="1:17" x14ac:dyDescent="0.3">
      <c r="A39">
        <v>3</v>
      </c>
      <c r="B39" t="s">
        <v>5</v>
      </c>
      <c r="C39" t="s">
        <v>10</v>
      </c>
      <c r="D39" s="5">
        <v>46304.841516203705</v>
      </c>
      <c r="E39" s="5">
        <v>46308.720636574071</v>
      </c>
      <c r="F39" s="1" t="s">
        <v>79</v>
      </c>
      <c r="G39" t="s">
        <v>80</v>
      </c>
      <c r="H39">
        <v>16</v>
      </c>
      <c r="I39">
        <v>15</v>
      </c>
      <c r="J39" s="6">
        <v>2.5499999999999998</v>
      </c>
      <c r="K39">
        <v>5.25</v>
      </c>
      <c r="L39">
        <v>2700</v>
      </c>
      <c r="M39"/>
      <c r="N39" s="6">
        <f>(Active_Sched[[#This Row],[ACT_CAV]]/Active_Sched[[#This Row],[CYCLE_TIME]])*3600</f>
        <v>10285.714285714286</v>
      </c>
      <c r="O39" s="6">
        <f>Active_Sched[[#This Row],[PCS_PER_HR]]/Active_Sched[[#This Row],[PCS_PER_CTN]]</f>
        <v>3.8095238095238098</v>
      </c>
      <c r="P39" t="str" cm="1">
        <f t="array" ref="P39">_xlfn.REGEXEXTRACT(Active_Sched[[#This Row],[CNTR_DESC]],"- (.*)", 2)</f>
        <v>M04</v>
      </c>
      <c r="Q39" s="8">
        <f>Active_Sched[[#This Row],[ACT_CAV]]/Active_Sched[[#This Row],[STD_CAV]]</f>
        <v>0.9375</v>
      </c>
    </row>
    <row r="40" spans="1:17" x14ac:dyDescent="0.3">
      <c r="A40">
        <v>3</v>
      </c>
      <c r="B40" t="s">
        <v>5</v>
      </c>
      <c r="C40" t="s">
        <v>10</v>
      </c>
      <c r="D40" s="5">
        <v>46302.852407407408</v>
      </c>
      <c r="E40" s="5">
        <v>46303.435347222221</v>
      </c>
      <c r="F40" s="1" t="s">
        <v>81</v>
      </c>
      <c r="G40" t="s">
        <v>82</v>
      </c>
      <c r="H40">
        <v>16</v>
      </c>
      <c r="I40">
        <v>16</v>
      </c>
      <c r="J40" s="6">
        <v>3.18</v>
      </c>
      <c r="K40">
        <v>5.25</v>
      </c>
      <c r="L40">
        <v>2100</v>
      </c>
      <c r="M40"/>
      <c r="N40" s="6">
        <f>(Active_Sched[[#This Row],[ACT_CAV]]/Active_Sched[[#This Row],[CYCLE_TIME]])*3600</f>
        <v>10971.428571428571</v>
      </c>
      <c r="O40" s="6">
        <f>Active_Sched[[#This Row],[PCS_PER_HR]]/Active_Sched[[#This Row],[PCS_PER_CTN]]</f>
        <v>5.2244897959183669</v>
      </c>
      <c r="P40" t="str" cm="1">
        <f t="array" ref="P40">_xlfn.REGEXEXTRACT(Active_Sched[[#This Row],[CNTR_DESC]],"- (.*)", 2)</f>
        <v>M04</v>
      </c>
      <c r="Q40" s="8">
        <f>Active_Sched[[#This Row],[ACT_CAV]]/Active_Sched[[#This Row],[STD_CAV]]</f>
        <v>1</v>
      </c>
    </row>
    <row r="41" spans="1:17" x14ac:dyDescent="0.3">
      <c r="A41">
        <v>3</v>
      </c>
      <c r="B41" t="s">
        <v>5</v>
      </c>
      <c r="C41" t="s">
        <v>10</v>
      </c>
      <c r="D41" s="5">
        <v>46302.376504629632</v>
      </c>
      <c r="E41" s="5">
        <v>46302.852407407408</v>
      </c>
      <c r="F41" s="1" t="s">
        <v>81</v>
      </c>
      <c r="G41" t="s">
        <v>82</v>
      </c>
      <c r="H41">
        <v>16</v>
      </c>
      <c r="I41">
        <v>16</v>
      </c>
      <c r="J41" s="6">
        <v>3.18</v>
      </c>
      <c r="K41">
        <v>5.25</v>
      </c>
      <c r="L41">
        <v>2100</v>
      </c>
      <c r="M41">
        <v>7.12</v>
      </c>
      <c r="N41" s="6">
        <f>(Active_Sched[[#This Row],[ACT_CAV]]/Active_Sched[[#This Row],[CYCLE_TIME]])*3600</f>
        <v>10971.428571428571</v>
      </c>
      <c r="O41" s="6">
        <f>Active_Sched[[#This Row],[PCS_PER_HR]]/Active_Sched[[#This Row],[PCS_PER_CTN]]</f>
        <v>5.2244897959183669</v>
      </c>
      <c r="P41" t="str" cm="1">
        <f t="array" ref="P41">_xlfn.REGEXEXTRACT(Active_Sched[[#This Row],[CNTR_DESC]],"- (.*)", 2)</f>
        <v>M04</v>
      </c>
      <c r="Q41" s="8">
        <f>Active_Sched[[#This Row],[ACT_CAV]]/Active_Sched[[#This Row],[STD_CAV]]</f>
        <v>1</v>
      </c>
    </row>
    <row r="42" spans="1:17" x14ac:dyDescent="0.3">
      <c r="A42">
        <v>3</v>
      </c>
      <c r="B42" t="s">
        <v>5</v>
      </c>
      <c r="C42" t="s">
        <v>10</v>
      </c>
      <c r="D42" s="5">
        <v>46308.720636574071</v>
      </c>
      <c r="E42" s="5">
        <v>46309.288668981484</v>
      </c>
      <c r="F42" s="1" t="s">
        <v>113</v>
      </c>
      <c r="G42" t="s">
        <v>114</v>
      </c>
      <c r="H42">
        <v>16</v>
      </c>
      <c r="I42">
        <v>15</v>
      </c>
      <c r="J42" s="6">
        <v>3.9</v>
      </c>
      <c r="K42">
        <v>6</v>
      </c>
      <c r="L42">
        <v>1500</v>
      </c>
      <c r="M42"/>
      <c r="N42" s="6">
        <f>(Active_Sched[[#This Row],[ACT_CAV]]/Active_Sched[[#This Row],[CYCLE_TIME]])*3600</f>
        <v>9000</v>
      </c>
      <c r="O42" s="6">
        <f>Active_Sched[[#This Row],[PCS_PER_HR]]/Active_Sched[[#This Row],[PCS_PER_CTN]]</f>
        <v>6</v>
      </c>
      <c r="P42" t="str" cm="1">
        <f t="array" ref="P42">_xlfn.REGEXEXTRACT(Active_Sched[[#This Row],[CNTR_DESC]],"- (.*)", 2)</f>
        <v>M04</v>
      </c>
      <c r="Q42" s="8">
        <f>Active_Sched[[#This Row],[ACT_CAV]]/Active_Sched[[#This Row],[STD_CAV]]</f>
        <v>0.9375</v>
      </c>
    </row>
    <row r="43" spans="1:17" x14ac:dyDescent="0.3">
      <c r="A43">
        <v>3</v>
      </c>
      <c r="B43" t="s">
        <v>5</v>
      </c>
      <c r="C43" t="s">
        <v>10</v>
      </c>
      <c r="D43" s="5">
        <v>46304.61409722222</v>
      </c>
      <c r="E43" s="5">
        <v>46304.841516203705</v>
      </c>
      <c r="F43" s="1" t="s">
        <v>83</v>
      </c>
      <c r="G43" t="s">
        <v>84</v>
      </c>
      <c r="H43">
        <v>16</v>
      </c>
      <c r="I43">
        <v>16</v>
      </c>
      <c r="J43" s="6">
        <v>3.5</v>
      </c>
      <c r="K43">
        <v>5.75</v>
      </c>
      <c r="L43">
        <v>2100</v>
      </c>
      <c r="M43"/>
      <c r="N43" s="6">
        <f>(Active_Sched[[#This Row],[ACT_CAV]]/Active_Sched[[#This Row],[CYCLE_TIME]])*3600</f>
        <v>10017.391304347826</v>
      </c>
      <c r="O43" s="6">
        <f>Active_Sched[[#This Row],[PCS_PER_HR]]/Active_Sched[[#This Row],[PCS_PER_CTN]]</f>
        <v>4.7701863354037268</v>
      </c>
      <c r="P43" t="str" cm="1">
        <f t="array" ref="P43">_xlfn.REGEXEXTRACT(Active_Sched[[#This Row],[CNTR_DESC]],"- (.*)", 2)</f>
        <v>M04</v>
      </c>
      <c r="Q43" s="8">
        <f>Active_Sched[[#This Row],[ACT_CAV]]/Active_Sched[[#This Row],[STD_CAV]]</f>
        <v>1</v>
      </c>
    </row>
    <row r="44" spans="1:17" x14ac:dyDescent="0.3">
      <c r="A44">
        <v>3</v>
      </c>
      <c r="B44" t="s">
        <v>5</v>
      </c>
      <c r="C44" t="s">
        <v>11</v>
      </c>
      <c r="D44" s="5">
        <v>46305.180775462963</v>
      </c>
      <c r="E44" s="5">
        <v>46316.180659722224</v>
      </c>
      <c r="F44" s="1" t="s">
        <v>115</v>
      </c>
      <c r="G44" t="s">
        <v>116</v>
      </c>
      <c r="H44">
        <v>16</v>
      </c>
      <c r="I44">
        <v>13</v>
      </c>
      <c r="J44" s="6">
        <v>4</v>
      </c>
      <c r="K44">
        <v>8</v>
      </c>
      <c r="L44">
        <v>1700</v>
      </c>
      <c r="M44"/>
      <c r="N44" s="6">
        <f>(Active_Sched[[#This Row],[ACT_CAV]]/Active_Sched[[#This Row],[CYCLE_TIME]])*3600</f>
        <v>5850</v>
      </c>
      <c r="O44" s="6">
        <f>Active_Sched[[#This Row],[PCS_PER_HR]]/Active_Sched[[#This Row],[PCS_PER_CTN]]</f>
        <v>3.4411764705882355</v>
      </c>
      <c r="P44" t="str" cm="1">
        <f t="array" ref="P44">_xlfn.REGEXEXTRACT(Active_Sched[[#This Row],[CNTR_DESC]],"- (.*)", 2)</f>
        <v>M02</v>
      </c>
      <c r="Q44" s="8">
        <f>Active_Sched[[#This Row],[ACT_CAV]]/Active_Sched[[#This Row],[STD_CAV]]</f>
        <v>0.8125</v>
      </c>
    </row>
    <row r="45" spans="1:17" x14ac:dyDescent="0.3">
      <c r="A45">
        <v>3</v>
      </c>
      <c r="B45" t="s">
        <v>5</v>
      </c>
      <c r="C45" t="s">
        <v>11</v>
      </c>
      <c r="D45" s="5">
        <v>46303.497893518521</v>
      </c>
      <c r="E45" s="5">
        <v>46305.180775462963</v>
      </c>
      <c r="F45" s="1" t="s">
        <v>115</v>
      </c>
      <c r="G45" t="s">
        <v>116</v>
      </c>
      <c r="H45">
        <v>16</v>
      </c>
      <c r="I45">
        <v>13</v>
      </c>
      <c r="J45" s="6">
        <v>4</v>
      </c>
      <c r="K45">
        <v>8</v>
      </c>
      <c r="L45">
        <v>1700</v>
      </c>
      <c r="M45"/>
      <c r="N45" s="6">
        <f>(Active_Sched[[#This Row],[ACT_CAV]]/Active_Sched[[#This Row],[CYCLE_TIME]])*3600</f>
        <v>5850</v>
      </c>
      <c r="O45" s="6">
        <f>Active_Sched[[#This Row],[PCS_PER_HR]]/Active_Sched[[#This Row],[PCS_PER_CTN]]</f>
        <v>3.4411764705882355</v>
      </c>
      <c r="P45" t="str" cm="1">
        <f t="array" ref="P45">_xlfn.REGEXEXTRACT(Active_Sched[[#This Row],[CNTR_DESC]],"- (.*)", 2)</f>
        <v>M02</v>
      </c>
      <c r="Q45" s="8">
        <f>Active_Sched[[#This Row],[ACT_CAV]]/Active_Sched[[#This Row],[STD_CAV]]</f>
        <v>0.8125</v>
      </c>
    </row>
    <row r="46" spans="1:17" x14ac:dyDescent="0.3">
      <c r="A46">
        <v>3</v>
      </c>
      <c r="B46" t="s">
        <v>6</v>
      </c>
      <c r="C46" t="s">
        <v>18</v>
      </c>
      <c r="D46" s="5">
        <v>46304.153831018521</v>
      </c>
      <c r="E46" s="5">
        <v>46304.879247685189</v>
      </c>
      <c r="F46" s="1" t="s">
        <v>85</v>
      </c>
      <c r="G46" t="s">
        <v>86</v>
      </c>
      <c r="H46">
        <v>8</v>
      </c>
      <c r="I46">
        <v>8</v>
      </c>
      <c r="J46" s="6">
        <v>9.08</v>
      </c>
      <c r="K46">
        <v>4.4000000000000004</v>
      </c>
      <c r="L46">
        <v>1400</v>
      </c>
      <c r="M46"/>
      <c r="N46" s="6">
        <f>(Active_Sched[[#This Row],[ACT_CAV]]/Active_Sched[[#This Row],[CYCLE_TIME]])*3600</f>
        <v>6545.454545454545</v>
      </c>
      <c r="O46" s="6">
        <f>Active_Sched[[#This Row],[PCS_PER_HR]]/Active_Sched[[#This Row],[PCS_PER_CTN]]</f>
        <v>4.6753246753246751</v>
      </c>
      <c r="P46" t="str" cm="1">
        <f t="array" ref="P46">_xlfn.REGEXEXTRACT(Active_Sched[[#This Row],[CNTR_DESC]],"- (.*)", 2)</f>
        <v>IML04</v>
      </c>
      <c r="Q46" s="8">
        <f>Active_Sched[[#This Row],[ACT_CAV]]/Active_Sched[[#This Row],[STD_CAV]]</f>
        <v>1</v>
      </c>
    </row>
    <row r="47" spans="1:17" x14ac:dyDescent="0.3">
      <c r="A47">
        <v>3</v>
      </c>
      <c r="B47" t="s">
        <v>6</v>
      </c>
      <c r="C47" t="s">
        <v>18</v>
      </c>
      <c r="D47" s="5">
        <v>46308.63863425926</v>
      </c>
      <c r="E47" s="5">
        <v>46321.389687499999</v>
      </c>
      <c r="F47" s="1" t="s">
        <v>117</v>
      </c>
      <c r="G47" t="s">
        <v>118</v>
      </c>
      <c r="H47">
        <v>8</v>
      </c>
      <c r="I47">
        <v>8</v>
      </c>
      <c r="J47" s="6">
        <v>9.08</v>
      </c>
      <c r="K47">
        <v>4.4000000000000004</v>
      </c>
      <c r="L47">
        <v>1400</v>
      </c>
      <c r="M47"/>
      <c r="N47" s="6">
        <f>(Active_Sched[[#This Row],[ACT_CAV]]/Active_Sched[[#This Row],[CYCLE_TIME]])*3600</f>
        <v>6545.454545454545</v>
      </c>
      <c r="O47" s="6">
        <f>Active_Sched[[#This Row],[PCS_PER_HR]]/Active_Sched[[#This Row],[PCS_PER_CTN]]</f>
        <v>4.6753246753246751</v>
      </c>
      <c r="P47" t="str" cm="1">
        <f t="array" ref="P47">_xlfn.REGEXEXTRACT(Active_Sched[[#This Row],[CNTR_DESC]],"- (.*)", 2)</f>
        <v>IML04</v>
      </c>
      <c r="Q47" s="8">
        <f>Active_Sched[[#This Row],[ACT_CAV]]/Active_Sched[[#This Row],[STD_CAV]]</f>
        <v>1</v>
      </c>
    </row>
    <row r="48" spans="1:17" x14ac:dyDescent="0.3">
      <c r="A48">
        <v>3</v>
      </c>
      <c r="B48" t="s">
        <v>6</v>
      </c>
      <c r="C48" t="s">
        <v>18</v>
      </c>
      <c r="D48" s="5">
        <v>46302.376527777778</v>
      </c>
      <c r="E48" s="5">
        <v>46302.394444444442</v>
      </c>
      <c r="F48" s="1" t="s">
        <v>22</v>
      </c>
      <c r="G48" t="s">
        <v>31</v>
      </c>
      <c r="H48">
        <v>8</v>
      </c>
      <c r="I48">
        <v>8</v>
      </c>
      <c r="J48" s="6">
        <v>9.08</v>
      </c>
      <c r="K48">
        <v>4.4000000000000004</v>
      </c>
      <c r="L48">
        <v>1400</v>
      </c>
      <c r="M48">
        <v>5.67</v>
      </c>
      <c r="N48" s="6">
        <f>(Active_Sched[[#This Row],[ACT_CAV]]/Active_Sched[[#This Row],[CYCLE_TIME]])*3600</f>
        <v>6545.454545454545</v>
      </c>
      <c r="O48" s="6">
        <f>Active_Sched[[#This Row],[PCS_PER_HR]]/Active_Sched[[#This Row],[PCS_PER_CTN]]</f>
        <v>4.6753246753246751</v>
      </c>
      <c r="P48" t="str" cm="1">
        <f t="array" ref="P48">_xlfn.REGEXEXTRACT(Active_Sched[[#This Row],[CNTR_DESC]],"- (.*)", 2)</f>
        <v>IML04</v>
      </c>
      <c r="Q48" s="8">
        <f>Active_Sched[[#This Row],[ACT_CAV]]/Active_Sched[[#This Row],[STD_CAV]]</f>
        <v>1</v>
      </c>
    </row>
    <row r="49" spans="1:17" x14ac:dyDescent="0.3">
      <c r="A49">
        <v>3</v>
      </c>
      <c r="B49" t="s">
        <v>5</v>
      </c>
      <c r="C49" t="s">
        <v>11</v>
      </c>
      <c r="D49" s="5">
        <v>46303.107395833336</v>
      </c>
      <c r="E49" s="5">
        <v>46303.497893518521</v>
      </c>
      <c r="F49" s="1" t="s">
        <v>119</v>
      </c>
      <c r="G49" t="s">
        <v>120</v>
      </c>
      <c r="H49">
        <v>16</v>
      </c>
      <c r="I49">
        <v>16</v>
      </c>
      <c r="J49" s="6">
        <v>4</v>
      </c>
      <c r="K49">
        <v>7</v>
      </c>
      <c r="L49">
        <v>1700</v>
      </c>
      <c r="M49"/>
      <c r="N49" s="6">
        <f>(Active_Sched[[#This Row],[ACT_CAV]]/Active_Sched[[#This Row],[CYCLE_TIME]])*3600</f>
        <v>8228.5714285714275</v>
      </c>
      <c r="O49" s="6">
        <f>Active_Sched[[#This Row],[PCS_PER_HR]]/Active_Sched[[#This Row],[PCS_PER_CTN]]</f>
        <v>4.8403361344537812</v>
      </c>
      <c r="P49" t="str" cm="1">
        <f t="array" ref="P49">_xlfn.REGEXEXTRACT(Active_Sched[[#This Row],[CNTR_DESC]],"- (.*)", 2)</f>
        <v>M02</v>
      </c>
      <c r="Q49" s="8">
        <f>Active_Sched[[#This Row],[ACT_CAV]]/Active_Sched[[#This Row],[STD_CAV]]</f>
        <v>1</v>
      </c>
    </row>
    <row r="50" spans="1:17" x14ac:dyDescent="0.3">
      <c r="A50">
        <v>3</v>
      </c>
      <c r="B50" t="s">
        <v>6</v>
      </c>
      <c r="C50" t="s">
        <v>23</v>
      </c>
      <c r="D50" s="5">
        <v>46305.017430555556</v>
      </c>
      <c r="E50" s="5">
        <v>46308.282881944448</v>
      </c>
      <c r="F50" s="1" t="s">
        <v>121</v>
      </c>
      <c r="G50" t="s">
        <v>122</v>
      </c>
      <c r="H50">
        <v>16</v>
      </c>
      <c r="I50">
        <v>14</v>
      </c>
      <c r="J50" s="6">
        <v>6.4</v>
      </c>
      <c r="K50">
        <v>5.7</v>
      </c>
      <c r="L50">
        <v>1500</v>
      </c>
      <c r="M50"/>
      <c r="N50" s="6">
        <f>(Active_Sched[[#This Row],[ACT_CAV]]/Active_Sched[[#This Row],[CYCLE_TIME]])*3600</f>
        <v>8842.105263157895</v>
      </c>
      <c r="O50" s="6">
        <f>Active_Sched[[#This Row],[PCS_PER_HR]]/Active_Sched[[#This Row],[PCS_PER_CTN]]</f>
        <v>5.8947368421052637</v>
      </c>
      <c r="P50" t="str" cm="1">
        <f t="array" ref="P50">_xlfn.REGEXEXTRACT(Active_Sched[[#This Row],[CNTR_DESC]],"- (.*)", 2)</f>
        <v>IML01</v>
      </c>
      <c r="Q50" s="8">
        <f>Active_Sched[[#This Row],[ACT_CAV]]/Active_Sched[[#This Row],[STD_CAV]]</f>
        <v>0.875</v>
      </c>
    </row>
    <row r="51" spans="1:17" x14ac:dyDescent="0.3">
      <c r="A51">
        <v>3</v>
      </c>
      <c r="B51" t="s">
        <v>6</v>
      </c>
      <c r="C51" t="s">
        <v>23</v>
      </c>
      <c r="D51" s="5">
        <v>46303.710312499999</v>
      </c>
      <c r="E51" s="5">
        <v>46305.017430555556</v>
      </c>
      <c r="F51" s="1" t="s">
        <v>121</v>
      </c>
      <c r="G51" t="s">
        <v>122</v>
      </c>
      <c r="H51">
        <v>16</v>
      </c>
      <c r="I51">
        <v>14</v>
      </c>
      <c r="J51" s="6">
        <v>6.4</v>
      </c>
      <c r="K51">
        <v>5.7</v>
      </c>
      <c r="L51">
        <v>1500</v>
      </c>
      <c r="M51"/>
      <c r="N51" s="6">
        <f>(Active_Sched[[#This Row],[ACT_CAV]]/Active_Sched[[#This Row],[CYCLE_TIME]])*3600</f>
        <v>8842.105263157895</v>
      </c>
      <c r="O51" s="6">
        <f>Active_Sched[[#This Row],[PCS_PER_HR]]/Active_Sched[[#This Row],[PCS_PER_CTN]]</f>
        <v>5.8947368421052637</v>
      </c>
      <c r="P51" t="str" cm="1">
        <f t="array" ref="P51">_xlfn.REGEXEXTRACT(Active_Sched[[#This Row],[CNTR_DESC]],"- (.*)", 2)</f>
        <v>IML01</v>
      </c>
      <c r="Q51" s="8">
        <f>Active_Sched[[#This Row],[ACT_CAV]]/Active_Sched[[#This Row],[STD_CAV]]</f>
        <v>0.875</v>
      </c>
    </row>
    <row r="52" spans="1:17" x14ac:dyDescent="0.3">
      <c r="A52">
        <v>3</v>
      </c>
      <c r="B52" t="s">
        <v>5</v>
      </c>
      <c r="C52" t="s">
        <v>10</v>
      </c>
      <c r="D52" s="5">
        <v>46303.435347222221</v>
      </c>
      <c r="E52" s="5">
        <v>46303.746099537035</v>
      </c>
      <c r="F52" s="1" t="s">
        <v>87</v>
      </c>
      <c r="G52" t="s">
        <v>88</v>
      </c>
      <c r="H52">
        <v>16</v>
      </c>
      <c r="I52">
        <v>16</v>
      </c>
      <c r="J52" s="6">
        <v>3.5</v>
      </c>
      <c r="K52">
        <v>5.75</v>
      </c>
      <c r="L52">
        <v>2100</v>
      </c>
      <c r="M52"/>
      <c r="N52" s="6">
        <f>(Active_Sched[[#This Row],[ACT_CAV]]/Active_Sched[[#This Row],[CYCLE_TIME]])*3600</f>
        <v>10017.391304347826</v>
      </c>
      <c r="O52" s="6">
        <f>Active_Sched[[#This Row],[PCS_PER_HR]]/Active_Sched[[#This Row],[PCS_PER_CTN]]</f>
        <v>4.7701863354037268</v>
      </c>
      <c r="P52" t="str" cm="1">
        <f t="array" ref="P52">_xlfn.REGEXEXTRACT(Active_Sched[[#This Row],[CNTR_DESC]],"- (.*)", 2)</f>
        <v>M04</v>
      </c>
      <c r="Q52" s="8">
        <f>Active_Sched[[#This Row],[ACT_CAV]]/Active_Sched[[#This Row],[STD_CAV]]</f>
        <v>1</v>
      </c>
    </row>
    <row r="53" spans="1:17" x14ac:dyDescent="0.3">
      <c r="A53">
        <v>3</v>
      </c>
      <c r="B53" t="s">
        <v>6</v>
      </c>
      <c r="C53" t="s">
        <v>18</v>
      </c>
      <c r="D53" s="5">
        <v>46302.398611111108</v>
      </c>
      <c r="E53" s="5">
        <v>46304.149664351855</v>
      </c>
      <c r="F53" s="1" t="s">
        <v>89</v>
      </c>
      <c r="G53" t="s">
        <v>90</v>
      </c>
      <c r="H53">
        <v>8</v>
      </c>
      <c r="I53">
        <v>8</v>
      </c>
      <c r="J53" s="6">
        <v>9.08</v>
      </c>
      <c r="K53">
        <v>4.4000000000000004</v>
      </c>
      <c r="L53">
        <v>1400</v>
      </c>
      <c r="M53"/>
      <c r="N53" s="6">
        <f>(Active_Sched[[#This Row],[ACT_CAV]]/Active_Sched[[#This Row],[CYCLE_TIME]])*3600</f>
        <v>6545.454545454545</v>
      </c>
      <c r="O53" s="6">
        <f>Active_Sched[[#This Row],[PCS_PER_HR]]/Active_Sched[[#This Row],[PCS_PER_CTN]]</f>
        <v>4.6753246753246751</v>
      </c>
      <c r="P53" t="str" cm="1">
        <f t="array" ref="P53">_xlfn.REGEXEXTRACT(Active_Sched[[#This Row],[CNTR_DESC]],"- (.*)", 2)</f>
        <v>IML04</v>
      </c>
      <c r="Q53" s="8">
        <f>Active_Sched[[#This Row],[ACT_CAV]]/Active_Sched[[#This Row],[STD_CAV]]</f>
        <v>1</v>
      </c>
    </row>
    <row r="54" spans="1:17" x14ac:dyDescent="0.3">
      <c r="A54">
        <v>3</v>
      </c>
      <c r="B54" t="s">
        <v>6</v>
      </c>
      <c r="C54" t="s">
        <v>24</v>
      </c>
      <c r="D54" s="5">
        <v>46308.344976851855</v>
      </c>
      <c r="E54" s="5">
        <v>46321.60670138889</v>
      </c>
      <c r="F54" s="1" t="s">
        <v>25</v>
      </c>
      <c r="G54" t="s">
        <v>32</v>
      </c>
      <c r="H54">
        <v>8</v>
      </c>
      <c r="I54">
        <v>8</v>
      </c>
      <c r="J54" s="6">
        <v>8.16</v>
      </c>
      <c r="K54">
        <v>5.5</v>
      </c>
      <c r="L54">
        <v>1450</v>
      </c>
      <c r="M54"/>
      <c r="N54" s="6">
        <f>(Active_Sched[[#This Row],[ACT_CAV]]/Active_Sched[[#This Row],[CYCLE_TIME]])*3600</f>
        <v>5236.3636363636369</v>
      </c>
      <c r="O54" s="6">
        <f>Active_Sched[[#This Row],[PCS_PER_HR]]/Active_Sched[[#This Row],[PCS_PER_CTN]]</f>
        <v>3.6112852664576804</v>
      </c>
      <c r="P54" t="str" cm="1">
        <f t="array" ref="P54">_xlfn.REGEXEXTRACT(Active_Sched[[#This Row],[CNTR_DESC]],"- (.*)", 2)</f>
        <v>IML06</v>
      </c>
      <c r="Q54" s="8">
        <f>Active_Sched[[#This Row],[ACT_CAV]]/Active_Sched[[#This Row],[STD_CAV]]</f>
        <v>1</v>
      </c>
    </row>
    <row r="55" spans="1:17" x14ac:dyDescent="0.3">
      <c r="A55">
        <v>3</v>
      </c>
      <c r="B55" t="s">
        <v>6</v>
      </c>
      <c r="C55" t="s">
        <v>24</v>
      </c>
      <c r="D55" s="5">
        <v>46304.549444444441</v>
      </c>
      <c r="E55" s="5">
        <v>46308.344976851855</v>
      </c>
      <c r="F55" s="1" t="s">
        <v>123</v>
      </c>
      <c r="G55" t="s">
        <v>124</v>
      </c>
      <c r="H55">
        <v>8</v>
      </c>
      <c r="I55">
        <v>8</v>
      </c>
      <c r="J55" s="6">
        <v>8.16</v>
      </c>
      <c r="K55">
        <v>4.3</v>
      </c>
      <c r="L55">
        <v>1450</v>
      </c>
      <c r="M55"/>
      <c r="N55" s="6">
        <f>(Active_Sched[[#This Row],[ACT_CAV]]/Active_Sched[[#This Row],[CYCLE_TIME]])*3600</f>
        <v>6697.6744186046508</v>
      </c>
      <c r="O55" s="6">
        <f>Active_Sched[[#This Row],[PCS_PER_HR]]/Active_Sched[[#This Row],[PCS_PER_CTN]]</f>
        <v>4.6190858059342421</v>
      </c>
      <c r="P55" t="str" cm="1">
        <f t="array" ref="P55">_xlfn.REGEXEXTRACT(Active_Sched[[#This Row],[CNTR_DESC]],"- (.*)", 2)</f>
        <v>IML06</v>
      </c>
      <c r="Q55" s="8">
        <f>Active_Sched[[#This Row],[ACT_CAV]]/Active_Sched[[#This Row],[STD_CAV]]</f>
        <v>1</v>
      </c>
    </row>
    <row r="56" spans="1:17" x14ac:dyDescent="0.3">
      <c r="A56">
        <v>3</v>
      </c>
      <c r="B56" t="s">
        <v>6</v>
      </c>
      <c r="C56" t="s">
        <v>23</v>
      </c>
      <c r="D56" s="5">
        <v>46308.282881944448</v>
      </c>
      <c r="E56" s="5">
        <v>46309.505601851852</v>
      </c>
      <c r="F56" s="1" t="s">
        <v>125</v>
      </c>
      <c r="G56" t="s">
        <v>126</v>
      </c>
      <c r="H56">
        <v>16</v>
      </c>
      <c r="I56">
        <v>12</v>
      </c>
      <c r="J56" s="6">
        <v>6.4</v>
      </c>
      <c r="K56">
        <v>5.7</v>
      </c>
      <c r="L56">
        <v>1500</v>
      </c>
      <c r="M56"/>
      <c r="N56" s="6">
        <f>(Active_Sched[[#This Row],[ACT_CAV]]/Active_Sched[[#This Row],[CYCLE_TIME]])*3600</f>
        <v>7578.9473684210525</v>
      </c>
      <c r="O56" s="6">
        <f>Active_Sched[[#This Row],[PCS_PER_HR]]/Active_Sched[[#This Row],[PCS_PER_CTN]]</f>
        <v>5.0526315789473681</v>
      </c>
      <c r="P56" t="str" cm="1">
        <f t="array" ref="P56">_xlfn.REGEXEXTRACT(Active_Sched[[#This Row],[CNTR_DESC]],"- (.*)", 2)</f>
        <v>IML01</v>
      </c>
      <c r="Q56" s="8">
        <f>Active_Sched[[#This Row],[ACT_CAV]]/Active_Sched[[#This Row],[STD_CAV]]</f>
        <v>0.75</v>
      </c>
    </row>
    <row r="57" spans="1:17" x14ac:dyDescent="0.3">
      <c r="A57">
        <v>3</v>
      </c>
      <c r="B57" t="s">
        <v>5</v>
      </c>
      <c r="C57" t="s">
        <v>10</v>
      </c>
      <c r="D57" s="5">
        <v>46303.746099537035</v>
      </c>
      <c r="E57" s="5">
        <v>46304.61409722222</v>
      </c>
      <c r="F57" s="1" t="s">
        <v>91</v>
      </c>
      <c r="G57" t="s">
        <v>92</v>
      </c>
      <c r="H57">
        <v>16</v>
      </c>
      <c r="I57">
        <v>16</v>
      </c>
      <c r="J57" s="6">
        <v>3.5</v>
      </c>
      <c r="K57">
        <v>5.75</v>
      </c>
      <c r="L57">
        <v>2100</v>
      </c>
      <c r="M57"/>
      <c r="N57" s="6">
        <f>(Active_Sched[[#This Row],[ACT_CAV]]/Active_Sched[[#This Row],[CYCLE_TIME]])*3600</f>
        <v>10017.391304347826</v>
      </c>
      <c r="O57" s="6">
        <f>Active_Sched[[#This Row],[PCS_PER_HR]]/Active_Sched[[#This Row],[PCS_PER_CTN]]</f>
        <v>4.7701863354037268</v>
      </c>
      <c r="P57" t="str" cm="1">
        <f t="array" ref="P57">_xlfn.REGEXEXTRACT(Active_Sched[[#This Row],[CNTR_DESC]],"- (.*)", 2)</f>
        <v>M04</v>
      </c>
      <c r="Q57" s="8">
        <f>Active_Sched[[#This Row],[ACT_CAV]]/Active_Sched[[#This Row],[STD_CAV]]</f>
        <v>1</v>
      </c>
    </row>
    <row r="58" spans="1:17" x14ac:dyDescent="0.3">
      <c r="A58">
        <v>3</v>
      </c>
      <c r="B58" t="s">
        <v>6</v>
      </c>
      <c r="C58" t="s">
        <v>18</v>
      </c>
      <c r="D58" s="5">
        <v>46304.883414351854</v>
      </c>
      <c r="E58" s="5">
        <v>46308.634467592594</v>
      </c>
      <c r="F58" s="1" t="s">
        <v>93</v>
      </c>
      <c r="G58" t="s">
        <v>94</v>
      </c>
      <c r="H58">
        <v>8</v>
      </c>
      <c r="I58">
        <v>8</v>
      </c>
      <c r="J58" s="6">
        <v>9.08</v>
      </c>
      <c r="K58">
        <v>4.4000000000000004</v>
      </c>
      <c r="L58">
        <v>1400</v>
      </c>
      <c r="M58"/>
      <c r="N58" s="6">
        <f>(Active_Sched[[#This Row],[ACT_CAV]]/Active_Sched[[#This Row],[CYCLE_TIME]])*3600</f>
        <v>6545.454545454545</v>
      </c>
      <c r="O58" s="6">
        <f>Active_Sched[[#This Row],[PCS_PER_HR]]/Active_Sched[[#This Row],[PCS_PER_CTN]]</f>
        <v>4.6753246753246751</v>
      </c>
      <c r="P58" t="str" cm="1">
        <f t="array" ref="P58">_xlfn.REGEXEXTRACT(Active_Sched[[#This Row],[CNTR_DESC]],"- (.*)", 2)</f>
        <v>IML04</v>
      </c>
      <c r="Q58" s="8">
        <f>Active_Sched[[#This Row],[ACT_CAV]]/Active_Sched[[#This Row],[STD_CAV]]</f>
        <v>1</v>
      </c>
    </row>
    <row r="59" spans="1:17" x14ac:dyDescent="0.3">
      <c r="A59">
        <v>3</v>
      </c>
      <c r="B59" t="s">
        <v>6</v>
      </c>
      <c r="C59" t="s">
        <v>19</v>
      </c>
      <c r="D59" s="5">
        <v>46302.376527777778</v>
      </c>
      <c r="E59" s="5">
        <v>46308.645289351851</v>
      </c>
      <c r="F59" s="1" t="s">
        <v>20</v>
      </c>
      <c r="G59" t="s">
        <v>30</v>
      </c>
      <c r="H59">
        <v>8</v>
      </c>
      <c r="I59">
        <v>4</v>
      </c>
      <c r="J59" s="6">
        <v>31.3</v>
      </c>
      <c r="K59">
        <v>7</v>
      </c>
      <c r="L59">
        <v>480</v>
      </c>
      <c r="M59"/>
      <c r="N59" s="6">
        <f>(Active_Sched[[#This Row],[ACT_CAV]]/Active_Sched[[#This Row],[CYCLE_TIME]])*3600</f>
        <v>2057.1428571428569</v>
      </c>
      <c r="O59" s="6">
        <f>Active_Sched[[#This Row],[PCS_PER_HR]]/Active_Sched[[#This Row],[PCS_PER_CTN]]</f>
        <v>4.2857142857142856</v>
      </c>
      <c r="P59" t="str" cm="1">
        <f t="array" ref="P59">_xlfn.REGEXEXTRACT(Active_Sched[[#This Row],[CNTR_DESC]],"- (.*)", 2)</f>
        <v>IML05</v>
      </c>
      <c r="Q59" s="8">
        <f>Active_Sched[[#This Row],[ACT_CAV]]/Active_Sched[[#This Row],[STD_CAV]]</f>
        <v>0.5</v>
      </c>
    </row>
    <row r="60" spans="1:17" x14ac:dyDescent="0.3">
      <c r="A60">
        <v>3</v>
      </c>
      <c r="B60" t="s">
        <v>6</v>
      </c>
      <c r="C60" t="s">
        <v>19</v>
      </c>
      <c r="D60" s="5">
        <v>46308.645289351851</v>
      </c>
      <c r="E60" s="5">
        <v>46322.489756944444</v>
      </c>
      <c r="F60" s="1" t="s">
        <v>127</v>
      </c>
      <c r="G60" t="s">
        <v>128</v>
      </c>
      <c r="H60">
        <v>8</v>
      </c>
      <c r="I60">
        <v>8</v>
      </c>
      <c r="J60" s="6">
        <v>31.3</v>
      </c>
      <c r="K60">
        <v>7</v>
      </c>
      <c r="L60">
        <v>480</v>
      </c>
      <c r="M60"/>
      <c r="N60" s="6">
        <f>(Active_Sched[[#This Row],[ACT_CAV]]/Active_Sched[[#This Row],[CYCLE_TIME]])*3600</f>
        <v>4114.2857142857138</v>
      </c>
      <c r="O60" s="6">
        <f>Active_Sched[[#This Row],[PCS_PER_HR]]/Active_Sched[[#This Row],[PCS_PER_CTN]]</f>
        <v>8.5714285714285712</v>
      </c>
      <c r="P60" t="str" cm="1">
        <f t="array" ref="P60">_xlfn.REGEXEXTRACT(Active_Sched[[#This Row],[CNTR_DESC]],"- (.*)", 2)</f>
        <v>IML05</v>
      </c>
      <c r="Q60" s="8">
        <f>Active_Sched[[#This Row],[ACT_CAV]]/Active_Sched[[#This Row],[STD_CAV]]</f>
        <v>1</v>
      </c>
    </row>
    <row r="61" spans="1:17" x14ac:dyDescent="0.3">
      <c r="A61">
        <v>3</v>
      </c>
      <c r="B61" t="s">
        <v>6</v>
      </c>
      <c r="C61" t="s">
        <v>17</v>
      </c>
      <c r="D61" s="5">
        <v>46302.376516203702</v>
      </c>
      <c r="E61" s="5">
        <v>46307.307453703703</v>
      </c>
      <c r="F61" s="1" t="s">
        <v>129</v>
      </c>
      <c r="G61" t="s">
        <v>130</v>
      </c>
      <c r="H61">
        <v>8</v>
      </c>
      <c r="I61">
        <v>6</v>
      </c>
      <c r="J61" s="6">
        <v>23.9</v>
      </c>
      <c r="K61">
        <v>6.75</v>
      </c>
      <c r="L61">
        <v>640</v>
      </c>
      <c r="M61">
        <v>7.37</v>
      </c>
      <c r="N61" s="6">
        <f>(Active_Sched[[#This Row],[ACT_CAV]]/Active_Sched[[#This Row],[CYCLE_TIME]])*3600</f>
        <v>3200</v>
      </c>
      <c r="O61" s="6">
        <f>Active_Sched[[#This Row],[PCS_PER_HR]]/Active_Sched[[#This Row],[PCS_PER_CTN]]</f>
        <v>5</v>
      </c>
      <c r="P61" t="str" cm="1">
        <f t="array" ref="P61">_xlfn.REGEXEXTRACT(Active_Sched[[#This Row],[CNTR_DESC]],"- (.*)", 2)</f>
        <v>IML02</v>
      </c>
      <c r="Q61" s="8">
        <f>Active_Sched[[#This Row],[ACT_CAV]]/Active_Sched[[#This Row],[STD_CAV]]</f>
        <v>0.75</v>
      </c>
    </row>
    <row r="62" spans="1:17" x14ac:dyDescent="0.3">
      <c r="A62">
        <v>3</v>
      </c>
      <c r="B62" t="s">
        <v>6</v>
      </c>
      <c r="C62" t="s">
        <v>26</v>
      </c>
      <c r="D62" s="5">
        <v>46302.376516203702</v>
      </c>
      <c r="E62" s="5">
        <v>46304.946412037039</v>
      </c>
      <c r="F62" s="1" t="s">
        <v>95</v>
      </c>
      <c r="G62" t="s">
        <v>96</v>
      </c>
      <c r="H62">
        <v>8</v>
      </c>
      <c r="I62">
        <v>8</v>
      </c>
      <c r="J62" s="6">
        <v>23.9</v>
      </c>
      <c r="K62">
        <v>6.75</v>
      </c>
      <c r="L62">
        <v>640</v>
      </c>
      <c r="M62"/>
      <c r="N62" s="6">
        <f>(Active_Sched[[#This Row],[ACT_CAV]]/Active_Sched[[#This Row],[CYCLE_TIME]])*3600</f>
        <v>4266.6666666666661</v>
      </c>
      <c r="O62" s="6">
        <f>Active_Sched[[#This Row],[PCS_PER_HR]]/Active_Sched[[#This Row],[PCS_PER_CTN]]</f>
        <v>6.6666666666666661</v>
      </c>
      <c r="P62" t="str" cm="1">
        <f t="array" ref="P62">_xlfn.REGEXEXTRACT(Active_Sched[[#This Row],[CNTR_DESC]],"- (.*)", 2)</f>
        <v>IML03</v>
      </c>
      <c r="Q62" s="8">
        <f>Active_Sched[[#This Row],[ACT_CAV]]/Active_Sched[[#This Row],[STD_CAV]]</f>
        <v>1</v>
      </c>
    </row>
    <row r="63" spans="1:17" x14ac:dyDescent="0.3">
      <c r="A63">
        <v>3</v>
      </c>
      <c r="B63" t="s">
        <v>6</v>
      </c>
      <c r="C63" t="s">
        <v>26</v>
      </c>
      <c r="D63" s="5">
        <v>46304.946412037039</v>
      </c>
      <c r="E63" s="5">
        <v>46309.044293981482</v>
      </c>
      <c r="F63" s="1" t="s">
        <v>95</v>
      </c>
      <c r="G63" t="s">
        <v>96</v>
      </c>
      <c r="H63">
        <v>8</v>
      </c>
      <c r="I63">
        <v>8</v>
      </c>
      <c r="J63" s="6">
        <v>23.9</v>
      </c>
      <c r="K63">
        <v>6.75</v>
      </c>
      <c r="L63">
        <v>640</v>
      </c>
      <c r="M63"/>
      <c r="N63" s="6">
        <f>(Active_Sched[[#This Row],[ACT_CAV]]/Active_Sched[[#This Row],[CYCLE_TIME]])*3600</f>
        <v>4266.6666666666661</v>
      </c>
      <c r="O63" s="6">
        <f>Active_Sched[[#This Row],[PCS_PER_HR]]/Active_Sched[[#This Row],[PCS_PER_CTN]]</f>
        <v>6.6666666666666661</v>
      </c>
      <c r="P63" t="str" cm="1">
        <f t="array" ref="P63">_xlfn.REGEXEXTRACT(Active_Sched[[#This Row],[CNTR_DESC]],"- (.*)", 2)</f>
        <v>IML03</v>
      </c>
      <c r="Q63" s="8">
        <f>Active_Sched[[#This Row],[ACT_CAV]]/Active_Sched[[#This Row],[STD_CAV]]</f>
        <v>1</v>
      </c>
    </row>
    <row r="64" spans="1:17" x14ac:dyDescent="0.3">
      <c r="A64">
        <v>3</v>
      </c>
      <c r="B64" t="s">
        <v>6</v>
      </c>
      <c r="C64" t="s">
        <v>17</v>
      </c>
      <c r="D64" s="5">
        <v>46307.307453703703</v>
      </c>
      <c r="E64" s="5">
        <v>46309.447002314817</v>
      </c>
      <c r="F64" s="1" t="s">
        <v>95</v>
      </c>
      <c r="G64" t="s">
        <v>96</v>
      </c>
      <c r="H64">
        <v>8</v>
      </c>
      <c r="I64">
        <v>8</v>
      </c>
      <c r="J64" s="6">
        <v>23.9</v>
      </c>
      <c r="K64">
        <v>6.75</v>
      </c>
      <c r="L64">
        <v>640</v>
      </c>
      <c r="M64"/>
      <c r="N64" s="6">
        <f>(Active_Sched[[#This Row],[ACT_CAV]]/Active_Sched[[#This Row],[CYCLE_TIME]])*3600</f>
        <v>4266.6666666666661</v>
      </c>
      <c r="O64" s="6">
        <f>Active_Sched[[#This Row],[PCS_PER_HR]]/Active_Sched[[#This Row],[PCS_PER_CTN]]</f>
        <v>6.6666666666666661</v>
      </c>
      <c r="P64" t="str" cm="1">
        <f t="array" ref="P64">_xlfn.REGEXEXTRACT(Active_Sched[[#This Row],[CNTR_DESC]],"- (.*)", 2)</f>
        <v>IML02</v>
      </c>
      <c r="Q64" s="8">
        <f>Active_Sched[[#This Row],[ACT_CAV]]/Active_Sched[[#This Row],[STD_CAV]]</f>
        <v>1</v>
      </c>
    </row>
    <row r="65" spans="1:17" x14ac:dyDescent="0.3">
      <c r="A65">
        <v>3</v>
      </c>
      <c r="B65" t="s">
        <v>5</v>
      </c>
      <c r="C65" t="s">
        <v>21</v>
      </c>
      <c r="D65" s="5">
        <v>46303.577303240738</v>
      </c>
      <c r="E65" s="5">
        <v>46304.410462962966</v>
      </c>
      <c r="F65" s="1" t="s">
        <v>97</v>
      </c>
      <c r="G65" t="s">
        <v>98</v>
      </c>
      <c r="H65">
        <v>16</v>
      </c>
      <c r="I65">
        <v>16</v>
      </c>
      <c r="J65" s="6">
        <v>10.6</v>
      </c>
      <c r="K65">
        <v>7</v>
      </c>
      <c r="L65">
        <v>350</v>
      </c>
      <c r="M65"/>
      <c r="N65" s="6">
        <f>(Active_Sched[[#This Row],[ACT_CAV]]/Active_Sched[[#This Row],[CYCLE_TIME]])*3600</f>
        <v>8228.5714285714275</v>
      </c>
      <c r="O65" s="6">
        <f>Active_Sched[[#This Row],[PCS_PER_HR]]/Active_Sched[[#This Row],[PCS_PER_CTN]]</f>
        <v>23.510204081632651</v>
      </c>
      <c r="P65" t="str" cm="1">
        <f t="array" ref="P65">_xlfn.REGEXEXTRACT(Active_Sched[[#This Row],[CNTR_DESC]],"- (.*)", 2)</f>
        <v>M01</v>
      </c>
      <c r="Q65" s="8">
        <f>Active_Sched[[#This Row],[ACT_CAV]]/Active_Sched[[#This Row],[STD_CAV]]</f>
        <v>1</v>
      </c>
    </row>
    <row r="66" spans="1:17" x14ac:dyDescent="0.3">
      <c r="A66">
        <v>3</v>
      </c>
      <c r="B66" t="s">
        <v>6</v>
      </c>
      <c r="C66" t="s">
        <v>24</v>
      </c>
      <c r="D66" s="5">
        <v>46302.376527777778</v>
      </c>
      <c r="E66" s="5">
        <v>46303.088020833333</v>
      </c>
      <c r="F66" s="1" t="s">
        <v>51</v>
      </c>
      <c r="G66" t="s">
        <v>52</v>
      </c>
      <c r="H66">
        <v>8</v>
      </c>
      <c r="I66">
        <v>8</v>
      </c>
      <c r="J66" s="6">
        <v>8.16</v>
      </c>
      <c r="K66">
        <v>4.3</v>
      </c>
      <c r="L66">
        <v>1450</v>
      </c>
      <c r="M66"/>
      <c r="N66" s="6">
        <f>(Active_Sched[[#This Row],[ACT_CAV]]/Active_Sched[[#This Row],[CYCLE_TIME]])*3600</f>
        <v>6697.6744186046508</v>
      </c>
      <c r="O66" s="6">
        <f>Active_Sched[[#This Row],[PCS_PER_HR]]/Active_Sched[[#This Row],[PCS_PER_CTN]]</f>
        <v>4.6190858059342421</v>
      </c>
      <c r="P66" t="str" cm="1">
        <f t="array" ref="P66">_xlfn.REGEXEXTRACT(Active_Sched[[#This Row],[CNTR_DESC]],"- (.*)", 2)</f>
        <v>IML06</v>
      </c>
      <c r="Q66" s="8">
        <f>Active_Sched[[#This Row],[ACT_CAV]]/Active_Sched[[#This Row],[STD_CAV]]</f>
        <v>1</v>
      </c>
    </row>
    <row r="67" spans="1:17" x14ac:dyDescent="0.3">
      <c r="A67">
        <v>3</v>
      </c>
      <c r="B67" t="s">
        <v>6</v>
      </c>
      <c r="C67" t="s">
        <v>24</v>
      </c>
      <c r="D67" s="5">
        <v>46303.088020833333</v>
      </c>
      <c r="E67" s="5">
        <v>46304.549444444441</v>
      </c>
      <c r="F67" s="1" t="s">
        <v>51</v>
      </c>
      <c r="G67" t="s">
        <v>52</v>
      </c>
      <c r="H67">
        <v>8</v>
      </c>
      <c r="I67">
        <v>8</v>
      </c>
      <c r="J67" s="6">
        <v>8.16</v>
      </c>
      <c r="K67">
        <v>4.3</v>
      </c>
      <c r="L67">
        <v>1450</v>
      </c>
      <c r="M67"/>
      <c r="N67" s="6">
        <f>(Active_Sched[[#This Row],[ACT_CAV]]/Active_Sched[[#This Row],[CYCLE_TIME]])*3600</f>
        <v>6697.6744186046508</v>
      </c>
      <c r="O67" s="6">
        <f>Active_Sched[[#This Row],[PCS_PER_HR]]/Active_Sched[[#This Row],[PCS_PER_CTN]]</f>
        <v>4.6190858059342421</v>
      </c>
      <c r="P67" t="str" cm="1">
        <f t="array" ref="P67">_xlfn.REGEXEXTRACT(Active_Sched[[#This Row],[CNTR_DESC]],"- (.*)", 2)</f>
        <v>IML06</v>
      </c>
      <c r="Q67" s="8">
        <f>Active_Sched[[#This Row],[ACT_CAV]]/Active_Sched[[#This Row],[STD_CAV]]</f>
        <v>1</v>
      </c>
    </row>
    <row r="69" spans="1:17" x14ac:dyDescent="0.3">
      <c r="K69" s="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Ranges>
  <Table name="Active_Sched">
    <CurrentColumnCount>13</CurrentColumnCount>
  </Table>
</TableRanges>
</file>

<file path=customXml/itemProps1.xml><?xml version="1.0" encoding="utf-8"?>
<ds:datastoreItem xmlns:ds="http://schemas.openxmlformats.org/officeDocument/2006/customXml" ds:itemID="{23983F3B-BCBE-4C95-9E8D-EBB0A76A66D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Active_Sched</vt:lpstr>
    </vt:vector>
  </TitlesOfParts>
  <Company>Airlite Plastics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Baier</dc:creator>
  <cp:lastModifiedBy>Jeff Baier</cp:lastModifiedBy>
  <dcterms:created xsi:type="dcterms:W3CDTF">2026-09-29T14:23:32Z</dcterms:created>
  <dcterms:modified xsi:type="dcterms:W3CDTF">2026-10-07T14:05:11Z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S Version">
    <vt:lpwstr>25.2</vt:lpwstr>
  </property>
</Properties>
</file>